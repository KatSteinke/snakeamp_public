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epos\16-s-nanopore-emu-flongle\test\data\utilities_test\"/>
    </mc:Choice>
  </mc:AlternateContent>
  <bookViews>
    <workbookView xWindow="0" yWindow="0" windowWidth="28800" windowHeight="11700"/>
  </bookViews>
  <sheets>
    <sheet name="Runsheet" sheetId="1" r:id="rId1"/>
    <sheet name="Ark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<sst xmlns="http://schemas.openxmlformats.org/spreadsheetml/2006/main" count="72" uniqueCount="71">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</sst>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1" zoomScaleNormal="100" workbookViewId="0">
      <selection activeCell="A2" sqref="A2:M4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47" t="s">
        <v>61</v>
      </c>
      <c r="F2" s="47"/>
      <c r="G2" s="47"/>
      <c r="H2" s="47"/>
      <c r="I2" s="51" t="s">
        <v>62</v>
      </c>
      <c r="J2" s="52" t="s">
        <v>63</v>
      </c>
      <c r="K2" s="53" t="s">
        <v>64</v>
      </c>
      <c r="L2" s="54" t="s">
        <v>65</v>
      </c>
      <c r="M2" s="26"/>
    </row>
    <row r="3" spans="1:13" ht="44.45" customHeight="1" thickBot="1" x14ac:dyDescent="0.3">
      <c r="A3" s="41"/>
      <c r="B3" s="26"/>
      <c r="C3" s="30" t="s">
        <v>66</v>
      </c>
      <c r="D3" s="26"/>
      <c r="E3" s="48" t="s">
        <v>67</v>
      </c>
      <c r="F3" s="49"/>
      <c r="G3" s="49"/>
      <c r="H3" s="50"/>
      <c r="I3" s="55"/>
      <c r="J3" s="56"/>
      <c r="K3" s="57"/>
      <c r="L3" s="58" t="s">
        <v>68</v>
      </c>
      <c r="M3" s="26"/>
    </row>
    <row r="4" spans="1:13" ht="53.25" customHeight="1" x14ac:dyDescent="0.25">
      <c r="A4" s="10" t="s">
        <v>69</v>
      </c>
      <c r="B4" s="21" t="s">
        <v>57</v>
      </c>
      <c r="C4" s="9" t="s">
        <v>7</v>
      </c>
      <c r="D4" s="26" t="s">
        <v>70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/>
      <c r="B5" s="6" t="s">
        <v>54</v>
      </c>
      <c r="C5" s="1"/>
      <c r="E5" s="31"/>
      <c r="F5" s="45" t="str">
        <f>IF(E5&lt;&gt;0,(IF(200/E5&gt;12.5,"12,5",200/E5)),"")</f>
        <v/>
      </c>
      <c r="G5" s="46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/>
      <c r="B6" s="6" t="s">
        <v>55</v>
      </c>
      <c r="C6" s="1"/>
      <c r="E6" s="31"/>
      <c r="F6" s="45" t="str">
        <f t="shared" ref="F6:F28" si="0">IF(E6&lt;&gt;0,(IF(200/E6&gt;12.5,"12,5",200/E6)),"")</f>
        <v/>
      </c>
      <c r="G6" s="46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/>
      <c r="B7" s="6" t="s">
        <v>56</v>
      </c>
      <c r="C7" s="1"/>
      <c r="E7" s="31"/>
      <c r="F7" s="45" t="str">
        <f t="shared" si="0"/>
        <v/>
      </c>
      <c r="G7" s="46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6"/>
      <c r="C8" s="1"/>
      <c r="E8" s="31"/>
      <c r="F8" s="45" t="str">
        <f t="shared" si="0"/>
        <v/>
      </c>
      <c r="G8" s="46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45" t="str">
        <f t="shared" si="0"/>
        <v/>
      </c>
      <c r="G9" s="46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45" t="str">
        <f t="shared" si="0"/>
        <v/>
      </c>
      <c r="G10" s="46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45" t="str">
        <f t="shared" si="0"/>
        <v/>
      </c>
      <c r="G11" s="46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45" t="str">
        <f t="shared" si="0"/>
        <v/>
      </c>
      <c r="G12" s="46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45" t="str">
        <f t="shared" si="0"/>
        <v/>
      </c>
      <c r="G13" s="46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45" t="str">
        <f t="shared" si="0"/>
        <v/>
      </c>
      <c r="G14" s="46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45" t="str">
        <f t="shared" si="0"/>
        <v/>
      </c>
      <c r="G15" s="46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45" t="str">
        <f t="shared" si="0"/>
        <v/>
      </c>
      <c r="G16" s="46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45" t="str">
        <f t="shared" si="0"/>
        <v/>
      </c>
      <c r="G17" s="46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45" t="str">
        <f t="shared" si="0"/>
        <v/>
      </c>
      <c r="G18" s="46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45" t="str">
        <f t="shared" si="0"/>
        <v/>
      </c>
      <c r="G19" s="46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45" t="str">
        <f t="shared" si="0"/>
        <v/>
      </c>
      <c r="G20" s="46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45" t="str">
        <f t="shared" si="0"/>
        <v/>
      </c>
      <c r="G21" s="46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45" t="str">
        <f t="shared" si="0"/>
        <v/>
      </c>
      <c r="G22" s="46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45" t="str">
        <f t="shared" si="0"/>
        <v/>
      </c>
      <c r="G23" s="46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45" t="str">
        <f t="shared" si="0"/>
        <v/>
      </c>
      <c r="G24" s="46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45" t="str">
        <f t="shared" si="0"/>
        <v/>
      </c>
      <c r="G25" s="46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45" t="str">
        <f t="shared" si="0"/>
        <v/>
      </c>
      <c r="G26" s="46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45" t="str">
        <f t="shared" si="0"/>
        <v/>
      </c>
      <c r="G27" s="46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45" t="str">
        <f t="shared" si="0"/>
        <v/>
      </c>
      <c r="G28" s="46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I2:I3"/>
    <mergeCell ref="F5:G5"/>
    <mergeCell ref="F6:G6"/>
    <mergeCell ref="F7:G7"/>
    <mergeCell ref="F8:G8"/>
    <mergeCell ref="E2:H2"/>
    <mergeCell ref="E3:H3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</mergeCells>
  <dataValidations count="1">
    <dataValidation type="list" allowBlank="1" showInputMessage="1" showErrorMessage="1" sqref="L3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'Ark2'!$A$1:$A$24</xm:f>
          </x14:formula1>
          <xm:sqref>C9:C28 B5:B8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2024-01-23T13:03:40Z</dcterms:modified>
</cp:coreProperties>
</file>