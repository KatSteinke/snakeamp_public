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16B04D9B-F7F3-480E-B7A7-7850DB3CE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Prøveoplysning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</calcChain>
</file>

<file path=xl/sharedStrings.xml><?xml version="1.0" encoding="utf-8"?>
<sst xmlns="http://schemas.openxmlformats.org/spreadsheetml/2006/main" count="81" uniqueCount="64">
  <si>
    <t>Reagenser</t>
  </si>
  <si>
    <t>Lot nr</t>
  </si>
  <si>
    <t>ng/µl</t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</si>
  <si>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</si>
  <si>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Eluat nr.</t>
  </si>
  <si>
    <t>NB01</t>
  </si>
  <si>
    <t>B99123456-1</t>
  </si>
  <si>
    <t>B99123456-2</t>
  </si>
  <si>
    <t>NB42</t>
  </si>
  <si>
    <t>Prøvenr</t>
  </si>
  <si>
    <t>XYZ</t>
  </si>
  <si>
    <t>RUNxxxx-INI</t>
  </si>
  <si>
    <t>Barkode</t>
  </si>
  <si>
    <t>Dato for Oprensning (YYYY-MM-DD)</t>
  </si>
  <si>
    <t xml:space="preserve">Dato (YYYY-MM-DD) + initialer Libraryprep </t>
  </si>
  <si>
    <t>Final sample</t>
  </si>
  <si>
    <t>Qubit måling (BR kit)</t>
  </si>
  <si>
    <t>Runsheet oprettet og tjekket med runsheet tjek-scriptet</t>
  </si>
  <si>
    <t>Dato</t>
  </si>
  <si>
    <t>Initialer</t>
  </si>
  <si>
    <t>Protokol (versionsnummer)</t>
  </si>
  <si>
    <t>manuel</t>
  </si>
  <si>
    <t xml:space="preserve">Kommentarer </t>
  </si>
  <si>
    <t>16S</t>
  </si>
  <si>
    <t>18S</t>
  </si>
  <si>
    <t>Flowcelle</t>
  </si>
  <si>
    <t>Antal porer</t>
  </si>
  <si>
    <t>Volumen af prøve i µl</t>
  </si>
  <si>
    <t xml:space="preserve">Volumen af EB i </t>
  </si>
  <si>
    <t>Prøvenummer</t>
  </si>
  <si>
    <t>Analyse</t>
  </si>
  <si>
    <t>NANO_Amplicon_Y20990101_RUN0001 XYZ</t>
  </si>
  <si>
    <t>MADS_Prøvenummer</t>
  </si>
  <si>
    <t>Isolat_nummer</t>
  </si>
  <si>
    <t>Prioritering</t>
  </si>
  <si>
    <t>Prøvemateriale</t>
  </si>
  <si>
    <t>Undersøgelse</t>
  </si>
  <si>
    <t>Inkluder_i_Oprensning</t>
  </si>
  <si>
    <t xml:space="preserve">Eluat_nr. </t>
  </si>
  <si>
    <t>Oprensnings_Dato</t>
  </si>
  <si>
    <t>Inkluder_i_Sekventering</t>
  </si>
  <si>
    <t>SEK_Run_nr</t>
  </si>
  <si>
    <t>Brønd_nr</t>
  </si>
  <si>
    <t>Overfør_til_arkiv</t>
  </si>
  <si>
    <t>Kommentar</t>
  </si>
  <si>
    <t>Kommentar_andet</t>
  </si>
  <si>
    <t>Registreret_af</t>
  </si>
  <si>
    <t>Registrering_udført_dato</t>
  </si>
  <si>
    <t>Bestilt_ af</t>
  </si>
  <si>
    <t>Bestillingsdato</t>
  </si>
  <si>
    <t>Fortløbende_nr</t>
  </si>
  <si>
    <t>B99123456</t>
  </si>
  <si>
    <t>Luftvejssekret</t>
  </si>
  <si>
    <t>Bakterieisolat</t>
  </si>
  <si>
    <t>NegK16S</t>
  </si>
  <si>
    <t>NegK18S</t>
  </si>
  <si>
    <t>NB02</t>
  </si>
  <si>
    <t>NB03</t>
  </si>
  <si>
    <t>Oprenset</t>
  </si>
  <si>
    <t>x</t>
  </si>
  <si>
    <t>0001</t>
  </si>
  <si>
    <t>ABC</t>
  </si>
  <si>
    <t>F99123456-1</t>
  </si>
  <si>
    <t>F99123456-2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</si>
</sst>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r.&quot;_-;\-* #,##0.00\ &quot;kr.&quot;_-;_-* &quot;-&quot;??\ &quot;kr.&quot;_-;_-@_-"/>
    <numFmt numFmtId="164" formatCode="0.0"/>
    <numFmt numFmtId="165" formatCode="yyyy/mm/dd;@"/>
  </numFmts>
  <fonts count="1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2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44" fontId="10" fillId="0" borderId="0" applyFont="0" applyFill="0" applyBorder="0" applyAlignment="0" applyProtection="0"/>
    <xf numFmtId="0" fontId="11" fillId="4" borderId="0" applyNumberFormat="0" applyBorder="0" applyAlignment="0" applyProtection="0"/>
  </cellStyleXfs>
  <cellXfs count="68">
    <xf numFmtId="0" fontId="0" fillId="0" borderId="0" xfId="0"/>
    <xf numFmtId="0" fontId="0" fillId="0" borderId="0" xfId="0" applyBorder="1"/>
    <xf numFmtId="0" fontId="2" fillId="3" borderId="2" xfId="2" applyBorder="1"/>
    <xf numFmtId="0" fontId="0" fillId="0" borderId="7" xfId="0" applyBorder="1" applyProtection="1">
      <protection locked="0"/>
    </xf>
    <xf numFmtId="0" fontId="0" fillId="0" borderId="2" xfId="0" applyBorder="1" applyAlignment="1">
      <alignment horizontal="right"/>
    </xf>
    <xf numFmtId="0" fontId="3" fillId="3" borderId="2" xfId="2" applyFont="1" applyBorder="1" applyAlignment="1">
      <alignment horizontal="center" wrapText="1"/>
    </xf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0" fillId="0" borderId="0" xfId="0" applyBorder="1" applyAlignment="1"/>
    <xf numFmtId="0" fontId="8" fillId="0" borderId="2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5" fillId="0" borderId="2" xfId="0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/>
    </xf>
    <xf numFmtId="0" fontId="2" fillId="3" borderId="2" xfId="2" applyBorder="1" applyAlignment="1">
      <alignment horizontal="center"/>
    </xf>
    <xf numFmtId="0" fontId="0" fillId="0" borderId="0" xfId="0"/>
    <xf numFmtId="0" fontId="0" fillId="0" borderId="0" xfId="0"/>
    <xf numFmtId="0" fontId="5" fillId="0" borderId="6" xfId="0" applyFont="1" applyBorder="1" applyAlignment="1">
      <alignment horizontal="center" wrapText="1"/>
    </xf>
    <xf numFmtId="14" fontId="5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1" fillId="4" borderId="2" xfId="4" applyNumberFormat="1" applyBorder="1" applyProtection="1"/>
    <xf numFmtId="0" fontId="0" fillId="0" borderId="6" xfId="0" applyBorder="1" applyProtection="1">
      <protection locked="0"/>
    </xf>
    <xf numFmtId="0" fontId="8" fillId="0" borderId="11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4" fillId="0" borderId="0" xfId="0" applyFont="1" applyBorder="1"/>
    <xf numFmtId="0" fontId="8" fillId="0" borderId="0" xfId="0" applyFont="1" applyBorder="1" applyAlignment="1">
      <alignment horizontal="right"/>
    </xf>
    <xf numFmtId="14" fontId="5" fillId="0" borderId="6" xfId="0" applyNumberFormat="1" applyFont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quotePrefix="1"/>
    <xf numFmtId="44" fontId="9" fillId="0" borderId="2" xfId="3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5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3" fillId="3" borderId="19" xfId="2" applyFont="1" applyBorder="1" applyAlignment="1">
      <alignment wrapText="1"/>
    </xf>
    <xf numFmtId="0" fontId="3" fillId="3" borderId="6" xfId="2" applyFont="1" applyBorder="1" applyAlignment="1">
      <alignment horizontal="center" wrapText="1"/>
    </xf>
    <xf numFmtId="0" fontId="8" fillId="0" borderId="22" xfId="0" applyFont="1" applyBorder="1" applyAlignment="1"/>
    <xf numFmtId="0" fontId="8" fillId="0" borderId="23" xfId="0" applyFont="1" applyBorder="1" applyAlignment="1">
      <alignment horizontal="right"/>
    </xf>
    <xf numFmtId="0" fontId="14" fillId="0" borderId="22" xfId="0" applyFont="1" applyBorder="1" applyAlignment="1"/>
    <xf numFmtId="0" fontId="5" fillId="0" borderId="3" xfId="0" applyFont="1" applyBorder="1"/>
    <xf numFmtId="0" fontId="15" fillId="0" borderId="2" xfId="0" applyFont="1" applyFill="1" applyBorder="1" applyProtection="1"/>
    <xf numFmtId="49" fontId="15" fillId="0" borderId="2" xfId="0" applyNumberFormat="1" applyFont="1" applyFill="1" applyBorder="1" applyProtection="1"/>
    <xf numFmtId="0" fontId="15" fillId="0" borderId="2" xfId="0" applyFont="1" applyFill="1" applyBorder="1" applyAlignment="1" applyProtection="1">
      <alignment horizontal="center" wrapText="1"/>
      <protection locked="0"/>
    </xf>
    <xf numFmtId="0" fontId="15" fillId="0" borderId="2" xfId="0" applyFont="1" applyFill="1" applyBorder="1" applyAlignment="1" applyProtection="1">
      <alignment horizontal="center" wrapText="1"/>
    </xf>
    <xf numFmtId="0" fontId="15" fillId="0" borderId="2" xfId="0" applyFont="1" applyFill="1" applyBorder="1" applyProtection="1">
      <protection locked="0"/>
    </xf>
    <xf numFmtId="165" fontId="15" fillId="0" borderId="2" xfId="0" applyNumberFormat="1" applyFont="1" applyFill="1" applyBorder="1" applyProtection="1"/>
    <xf numFmtId="0" fontId="15" fillId="0" borderId="11" xfId="0" applyFont="1" applyFill="1" applyBorder="1" applyProtection="1"/>
    <xf numFmtId="0" fontId="0" fillId="0" borderId="0" xfId="0" applyFill="1" applyProtection="1"/>
    <xf numFmtId="0" fontId="0" fillId="0" borderId="0" xfId="0" applyFill="1" applyBorder="1"/>
    <xf numFmtId="14" fontId="0" fillId="0" borderId="0" xfId="0" applyNumberFormat="1"/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" fillId="3" borderId="20" xfId="2" applyFont="1" applyBorder="1" applyAlignment="1">
      <alignment horizontal="center" wrapText="1"/>
    </xf>
    <xf numFmtId="0" fontId="3" fillId="3" borderId="21" xfId="2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164" fontId="11" fillId="4" borderId="3" xfId="4" applyNumberFormat="1" applyBorder="1" applyAlignment="1" applyProtection="1">
      <alignment horizontal="center"/>
    </xf>
    <xf numFmtId="164" fontId="11" fillId="4" borderId="4" xfId="4" applyNumberFormat="1" applyBorder="1" applyAlignment="1" applyProtection="1">
      <alignment horizontal="center"/>
    </xf>
    <xf numFmtId="0" fontId="6" fillId="3" borderId="2" xfId="2" applyFont="1" applyBorder="1" applyAlignment="1">
      <alignment horizontal="center" vertical="center" wrapText="1"/>
    </xf>
    <xf numFmtId="0" fontId="7" fillId="2" borderId="3" xfId="1" applyFont="1" applyBorder="1" applyAlignment="1">
      <alignment horizontal="center" vertical="center" wrapText="1"/>
    </xf>
    <xf numFmtId="0" fontId="7" fillId="2" borderId="4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</cellXfs>
  <cellStyles count="5">
    <cellStyle name="60 % - Farve1" xfId="4" builtinId="32"/>
    <cellStyle name="Kontrollér celle" xfId="2" builtinId="23"/>
    <cellStyle name="Normal" xfId="0" builtinId="0"/>
    <cellStyle name="Ugyldig" xfId="1" builtinId="27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6" sqref="A6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17" customFormat="1" ht="15.75" thickBot="1" x14ac:dyDescent="0.3"/>
    <row r="2" spans="1:13" ht="48" customHeight="1" thickBot="1" x14ac:dyDescent="0.3">
      <c r="A2" s="31" t="s">
        <v>13</v>
      </c>
      <c r="B2" s="31" t="s">
        <v>14</v>
      </c>
      <c r="C2" s="32" t="s">
        <v>11</v>
      </c>
      <c r="E2" s="64" t="s">
        <v>15</v>
      </c>
      <c r="F2" s="64"/>
      <c r="G2" s="64"/>
      <c r="H2" s="64"/>
      <c r="I2" s="55" t="s">
        <v>17</v>
      </c>
      <c r="J2" s="33" t="s">
        <v>18</v>
      </c>
      <c r="K2" s="34" t="s">
        <v>19</v>
      </c>
      <c r="L2" s="35" t="s">
        <v>20</v>
      </c>
    </row>
    <row r="3" spans="1:13" ht="44.45" customHeight="1" thickBot="1" x14ac:dyDescent="0.3">
      <c r="A3" s="27"/>
      <c r="C3" s="19" t="s">
        <v>31</v>
      </c>
      <c r="E3" s="65" t="s">
        <v>16</v>
      </c>
      <c r="F3" s="66"/>
      <c r="G3" s="66"/>
      <c r="H3" s="67"/>
      <c r="I3" s="56"/>
      <c r="J3" s="36"/>
      <c r="K3" s="37"/>
      <c r="L3" s="38" t="s">
        <v>21</v>
      </c>
    </row>
    <row r="4" spans="1:13" ht="53.25" customHeight="1" thickBot="1" x14ac:dyDescent="0.3">
      <c r="A4" s="7" t="s">
        <v>29</v>
      </c>
      <c r="B4" s="13" t="s">
        <v>12</v>
      </c>
      <c r="C4" s="6" t="s">
        <v>4</v>
      </c>
      <c r="D4" t="s">
        <v>30</v>
      </c>
      <c r="E4" s="7" t="s">
        <v>2</v>
      </c>
      <c r="F4" s="44" t="s">
        <v>27</v>
      </c>
      <c r="G4" s="6" t="s">
        <v>28</v>
      </c>
      <c r="H4" s="18" t="s">
        <v>3</v>
      </c>
      <c r="I4" s="39" t="s">
        <v>0</v>
      </c>
      <c r="J4" s="40" t="s">
        <v>1</v>
      </c>
      <c r="K4" s="57" t="s">
        <v>22</v>
      </c>
      <c r="L4" s="58"/>
      <c r="M4" s="5"/>
    </row>
    <row r="5" spans="1:13" ht="15.75" customHeight="1" thickBot="1" x14ac:dyDescent="0.3">
      <c r="A5" s="28" t="s">
        <v>62</v>
      </c>
      <c r="B5" s="4" t="s">
        <v>5</v>
      </c>
      <c r="C5" s="29">
        <v>1</v>
      </c>
      <c r="D5" t="s">
        <v>23</v>
      </c>
      <c r="E5" s="20">
        <v>145</v>
      </c>
      <c r="F5" s="62">
        <f>IF(E5&lt;&gt;0,(IF(200/E5&gt;12.5,"12,5",200/E5)),"")</f>
        <v>1.3793103448275863</v>
      </c>
      <c r="G5" s="63"/>
      <c r="H5" s="21">
        <f>IF(E5=0,"",12.5-F5)</f>
        <v>11.120689655172413</v>
      </c>
      <c r="I5" s="41"/>
      <c r="J5" s="42"/>
      <c r="K5" s="59"/>
      <c r="L5" s="59"/>
      <c r="M5" s="10"/>
    </row>
    <row r="6" spans="1:13" ht="15.75" thickBot="1" x14ac:dyDescent="0.3">
      <c r="A6" s="28" t="s">
        <v>63</v>
      </c>
      <c r="B6" s="4" t="s">
        <v>8</v>
      </c>
      <c r="C6" s="29">
        <v>2</v>
      </c>
      <c r="D6" t="s">
        <v>23</v>
      </c>
      <c r="E6" s="20">
        <v>62.4</v>
      </c>
      <c r="F6" s="62">
        <f t="shared" ref="F6" si="0">IF(E6&lt;&gt;0,(IF(200/E6&gt;12.5,"12,5",200/E6)),"")</f>
        <v>3.2051282051282053</v>
      </c>
      <c r="G6" s="63"/>
      <c r="H6" s="21">
        <f t="shared" ref="H6" si="1">IF(E6=0,"",12.5-F6)</f>
        <v>9.2948717948717956</v>
      </c>
      <c r="I6" s="60"/>
      <c r="J6" s="61"/>
      <c r="K6" s="59"/>
      <c r="L6" s="59"/>
      <c r="M6" s="11"/>
    </row>
    <row r="7" spans="1:13" ht="15.75" thickBot="1" x14ac:dyDescent="0.3">
      <c r="A7" s="28" t="s">
        <v>54</v>
      </c>
      <c r="B7" s="28" t="s">
        <v>56</v>
      </c>
      <c r="C7" s="4">
        <v>3</v>
      </c>
      <c r="D7" s="29" t="s">
        <v>23</v>
      </c>
      <c r="E7" s="20"/>
      <c r="F7" s="62"/>
      <c r="G7" s="63"/>
      <c r="H7" s="21"/>
      <c r="I7" s="41"/>
      <c r="J7" s="42"/>
      <c r="K7" s="59"/>
      <c r="L7" s="59"/>
      <c r="M7" s="9"/>
    </row>
    <row r="8" spans="1:13" ht="15.75" thickBot="1" x14ac:dyDescent="0.3">
      <c r="A8" s="28" t="s">
        <v>55</v>
      </c>
      <c r="B8" s="28" t="s">
        <v>57</v>
      </c>
      <c r="C8" s="4">
        <v>4</v>
      </c>
      <c r="D8" s="29" t="s">
        <v>24</v>
      </c>
      <c r="E8" s="20"/>
      <c r="F8" s="62"/>
      <c r="G8" s="63"/>
      <c r="H8" s="21"/>
      <c r="I8" s="41"/>
      <c r="J8" s="42"/>
      <c r="K8" s="59"/>
      <c r="L8" s="59"/>
      <c r="M8" s="9"/>
    </row>
    <row r="9" spans="1:13" ht="15.75" thickBot="1" x14ac:dyDescent="0.3">
      <c r="A9" s="28"/>
      <c r="B9" s="28"/>
      <c r="C9" s="4"/>
      <c r="D9" s="29"/>
      <c r="E9" s="20"/>
      <c r="F9" s="62"/>
      <c r="G9" s="63"/>
      <c r="H9" s="21"/>
      <c r="I9" s="41"/>
      <c r="J9" s="42"/>
      <c r="K9" s="59"/>
      <c r="L9" s="59"/>
      <c r="M9" s="10"/>
    </row>
    <row r="10" spans="1:13" ht="15.75" thickBot="1" x14ac:dyDescent="0.3">
      <c r="A10" s="28"/>
      <c r="B10" s="28"/>
      <c r="C10" s="4"/>
      <c r="D10" s="29"/>
      <c r="E10" s="20"/>
      <c r="F10" s="62"/>
      <c r="G10" s="63"/>
      <c r="H10" s="21"/>
      <c r="I10" s="41"/>
      <c r="J10" s="42"/>
      <c r="K10" s="59"/>
      <c r="L10" s="59"/>
      <c r="M10" s="11"/>
    </row>
    <row r="11" spans="1:13" ht="15.75" thickBot="1" x14ac:dyDescent="0.3">
      <c r="A11" s="28"/>
      <c r="B11" s="28"/>
      <c r="C11" s="4"/>
      <c r="D11" s="29"/>
      <c r="E11" s="20"/>
      <c r="F11" s="62"/>
      <c r="G11" s="63"/>
      <c r="H11" s="21"/>
      <c r="I11" s="41"/>
      <c r="J11" s="42"/>
      <c r="K11" s="59"/>
      <c r="L11" s="59"/>
      <c r="M11" s="9"/>
    </row>
    <row r="12" spans="1:13" ht="15.75" thickBot="1" x14ac:dyDescent="0.3">
      <c r="A12" s="28"/>
      <c r="B12" s="28"/>
      <c r="C12" s="4"/>
      <c r="D12" s="29"/>
      <c r="E12" s="20"/>
      <c r="F12" s="62"/>
      <c r="G12" s="63"/>
      <c r="H12" s="21"/>
      <c r="I12" s="60" t="s">
        <v>23</v>
      </c>
      <c r="J12" s="61"/>
      <c r="K12" s="59"/>
      <c r="L12" s="59"/>
      <c r="M12" s="9"/>
    </row>
    <row r="13" spans="1:13" ht="15.75" thickBot="1" x14ac:dyDescent="0.3">
      <c r="A13" s="28"/>
      <c r="B13" s="28"/>
      <c r="C13" s="4"/>
      <c r="D13" s="29"/>
      <c r="E13" s="3"/>
      <c r="F13" s="62"/>
      <c r="G13" s="63"/>
      <c r="H13" s="21"/>
      <c r="I13" s="43"/>
      <c r="J13" s="42"/>
      <c r="K13" s="59"/>
      <c r="L13" s="59"/>
      <c r="M13" s="10"/>
    </row>
    <row r="14" spans="1:13" ht="15.75" thickBot="1" x14ac:dyDescent="0.3">
      <c r="A14" s="28"/>
      <c r="B14" s="28"/>
      <c r="C14" s="4"/>
      <c r="D14" s="29"/>
      <c r="E14" s="20"/>
      <c r="F14" s="62"/>
      <c r="G14" s="63"/>
      <c r="H14" s="21"/>
      <c r="I14" s="41"/>
      <c r="J14" s="42"/>
      <c r="K14" s="59"/>
      <c r="L14" s="59"/>
      <c r="M14" s="23"/>
    </row>
    <row r="15" spans="1:13" ht="15.75" thickBot="1" x14ac:dyDescent="0.3">
      <c r="A15" s="28"/>
      <c r="B15" s="28"/>
      <c r="C15" s="4"/>
      <c r="D15" s="29"/>
      <c r="E15" s="22"/>
      <c r="F15" s="62"/>
      <c r="G15" s="63"/>
      <c r="H15" s="21"/>
      <c r="I15" s="41"/>
      <c r="J15" s="42"/>
      <c r="K15" s="59"/>
      <c r="L15" s="59"/>
      <c r="M15" s="10"/>
    </row>
    <row r="16" spans="1:13" ht="15.75" thickBot="1" x14ac:dyDescent="0.3">
      <c r="A16" s="28"/>
      <c r="B16" s="28"/>
      <c r="C16" s="4"/>
      <c r="D16" s="29"/>
      <c r="E16" s="20"/>
      <c r="F16" s="62"/>
      <c r="G16" s="63"/>
      <c r="H16" s="21"/>
      <c r="I16" s="41"/>
      <c r="J16" s="42"/>
      <c r="K16" s="59"/>
      <c r="L16" s="59"/>
      <c r="M16" s="12"/>
    </row>
    <row r="17" spans="1:13" ht="15.75" thickBot="1" x14ac:dyDescent="0.3">
      <c r="A17" s="28"/>
      <c r="B17" s="28"/>
      <c r="C17" s="4"/>
      <c r="D17" s="29"/>
      <c r="E17" s="22"/>
      <c r="F17" s="62"/>
      <c r="G17" s="63"/>
      <c r="H17" s="21"/>
      <c r="I17" s="41"/>
      <c r="J17" s="42"/>
      <c r="K17" s="59"/>
      <c r="L17" s="59"/>
      <c r="M17" s="11"/>
    </row>
    <row r="18" spans="1:13" ht="15.75" thickBot="1" x14ac:dyDescent="0.3">
      <c r="A18" s="28"/>
      <c r="B18" s="28"/>
      <c r="C18" s="4"/>
      <c r="D18" s="29"/>
      <c r="E18" s="20"/>
      <c r="F18" s="62"/>
      <c r="G18" s="63"/>
      <c r="H18" s="21"/>
      <c r="I18" s="60" t="s">
        <v>24</v>
      </c>
      <c r="J18" s="61"/>
      <c r="K18" s="59"/>
      <c r="L18" s="59"/>
      <c r="M18" s="10"/>
    </row>
    <row r="19" spans="1:13" ht="15.75" thickBot="1" x14ac:dyDescent="0.3">
      <c r="A19" s="28"/>
      <c r="B19" s="28"/>
      <c r="C19" s="4"/>
      <c r="D19" s="29"/>
      <c r="E19" s="20"/>
      <c r="F19" s="62"/>
      <c r="G19" s="63"/>
      <c r="H19" s="21"/>
      <c r="I19" s="41"/>
      <c r="J19" s="42"/>
      <c r="K19" s="59"/>
      <c r="L19" s="59"/>
      <c r="M19" s="12"/>
    </row>
    <row r="20" spans="1:13" ht="15.75" thickBot="1" x14ac:dyDescent="0.3">
      <c r="A20" s="28"/>
      <c r="B20" s="28"/>
      <c r="C20" s="4"/>
      <c r="D20" s="29"/>
      <c r="E20" s="20"/>
      <c r="F20" s="62"/>
      <c r="G20" s="63"/>
      <c r="H20" s="21"/>
      <c r="I20" s="43"/>
      <c r="J20" s="42"/>
      <c r="K20" s="59"/>
      <c r="L20" s="59"/>
      <c r="M20" s="11"/>
    </row>
    <row r="21" spans="1:13" ht="15.75" thickBot="1" x14ac:dyDescent="0.3">
      <c r="A21" s="28"/>
      <c r="B21" s="28"/>
      <c r="C21" s="4"/>
      <c r="D21" s="29"/>
      <c r="E21" s="20"/>
      <c r="F21" s="62"/>
      <c r="G21" s="63"/>
      <c r="H21" s="21"/>
      <c r="I21" s="41"/>
      <c r="J21" s="42"/>
      <c r="K21" s="59"/>
      <c r="L21" s="59"/>
      <c r="M21" s="9"/>
    </row>
    <row r="22" spans="1:13" ht="15.75" thickBot="1" x14ac:dyDescent="0.3">
      <c r="A22" s="28"/>
      <c r="B22" s="28"/>
      <c r="C22" s="4"/>
      <c r="D22" s="29"/>
      <c r="E22" s="20"/>
      <c r="F22" s="62"/>
      <c r="G22" s="63"/>
      <c r="H22" s="21"/>
      <c r="I22" s="41"/>
      <c r="J22" s="42"/>
      <c r="K22" s="59"/>
      <c r="L22" s="59"/>
      <c r="M22" s="10"/>
    </row>
    <row r="23" spans="1:13" ht="15.75" thickBot="1" x14ac:dyDescent="0.3">
      <c r="A23" s="28"/>
      <c r="B23" s="28"/>
      <c r="C23" s="4"/>
      <c r="D23" s="29"/>
      <c r="E23" s="20"/>
      <c r="F23" s="62"/>
      <c r="G23" s="63"/>
      <c r="H23" s="21"/>
      <c r="I23" s="41"/>
      <c r="J23" s="42"/>
      <c r="K23" s="59"/>
      <c r="L23" s="59"/>
      <c r="M23" s="11"/>
    </row>
    <row r="24" spans="1:13" ht="15.75" thickBot="1" x14ac:dyDescent="0.3">
      <c r="A24" s="28"/>
      <c r="B24" s="28"/>
      <c r="C24" s="4"/>
      <c r="D24" s="29"/>
      <c r="E24" s="20"/>
      <c r="F24" s="62"/>
      <c r="G24" s="63"/>
      <c r="H24" s="21"/>
      <c r="I24" s="60" t="s">
        <v>25</v>
      </c>
      <c r="J24" s="61"/>
      <c r="K24" s="59"/>
      <c r="L24" s="59"/>
      <c r="M24" s="24"/>
    </row>
    <row r="25" spans="1:13" ht="15.75" thickBot="1" x14ac:dyDescent="0.3">
      <c r="A25" s="28"/>
      <c r="B25" s="28"/>
      <c r="C25" s="4"/>
      <c r="D25" s="29"/>
      <c r="E25" s="20"/>
      <c r="F25" s="62"/>
      <c r="G25" s="63"/>
      <c r="H25" s="21"/>
      <c r="I25" s="41" t="s">
        <v>25</v>
      </c>
      <c r="J25" s="42"/>
      <c r="K25" s="59"/>
      <c r="L25" s="59"/>
      <c r="M25" s="9"/>
    </row>
    <row r="26" spans="1:13" ht="15.75" thickBot="1" x14ac:dyDescent="0.3">
      <c r="A26" s="28"/>
      <c r="B26" s="28"/>
      <c r="C26" s="4"/>
      <c r="D26" s="29"/>
      <c r="E26" s="20"/>
      <c r="F26" s="62"/>
      <c r="G26" s="63"/>
      <c r="H26" s="21"/>
      <c r="I26" s="41" t="s">
        <v>26</v>
      </c>
      <c r="J26" s="42"/>
      <c r="K26" s="59"/>
      <c r="L26" s="59"/>
      <c r="M26" s="9"/>
    </row>
    <row r="27" spans="1:13" x14ac:dyDescent="0.25">
      <c r="A27" s="28"/>
      <c r="B27" s="28"/>
      <c r="C27" s="4"/>
      <c r="D27" s="29"/>
      <c r="E27" s="20"/>
      <c r="F27" s="62"/>
      <c r="G27" s="63"/>
      <c r="H27" s="21"/>
      <c r="I27" s="2"/>
      <c r="J27" s="2"/>
      <c r="K27" s="15"/>
      <c r="L27" s="25"/>
      <c r="M27" s="26"/>
    </row>
    <row r="28" spans="1:13" x14ac:dyDescent="0.25">
      <c r="A28" s="29"/>
      <c r="B28" s="29"/>
      <c r="C28" s="4"/>
      <c r="D28" s="29"/>
      <c r="E28" s="20"/>
      <c r="F28" s="62"/>
      <c r="G28" s="63"/>
      <c r="H28" s="21"/>
      <c r="I28" s="2"/>
      <c r="J28" s="2"/>
      <c r="K28" s="15"/>
      <c r="L28" s="25"/>
      <c r="M28" s="26"/>
    </row>
    <row r="29" spans="1:13" x14ac:dyDescent="0.25">
      <c r="B29" s="1"/>
      <c r="C29" s="1"/>
      <c r="D29" s="8"/>
      <c r="E29" s="8"/>
      <c r="F29" s="8"/>
      <c r="G29" s="1"/>
      <c r="H29" s="1"/>
      <c r="L29" s="1"/>
    </row>
    <row r="30" spans="1:13" x14ac:dyDescent="0.25">
      <c r="A30" s="16"/>
      <c r="B30" s="1"/>
      <c r="C30" s="1"/>
      <c r="D30" s="14"/>
      <c r="E30" s="8"/>
      <c r="F30" s="8"/>
      <c r="G30" s="1"/>
      <c r="H30" s="1"/>
    </row>
    <row r="31" spans="1:13" x14ac:dyDescent="0.25">
      <c r="B31" s="1"/>
      <c r="C31" s="1"/>
      <c r="D31" s="8"/>
      <c r="E31" s="8"/>
      <c r="F31" s="8"/>
      <c r="G31" s="1"/>
      <c r="H31" s="1"/>
    </row>
    <row r="32" spans="1:13" x14ac:dyDescent="0.25">
      <c r="B32" s="1"/>
      <c r="C32" s="1"/>
      <c r="D32" s="8"/>
      <c r="E32" s="8"/>
      <c r="F32" s="8"/>
      <c r="G32" s="1"/>
      <c r="H32" s="1"/>
    </row>
    <row r="33" spans="1:10" s="17" customFormat="1" x14ac:dyDescent="0.25">
      <c r="B33" s="1"/>
      <c r="C33" s="1"/>
      <c r="D33" s="8"/>
      <c r="E33" s="8"/>
      <c r="F33" s="8"/>
      <c r="G33" s="1"/>
      <c r="H33" s="1"/>
      <c r="I33"/>
      <c r="J33"/>
    </row>
    <row r="34" spans="1:10" x14ac:dyDescent="0.25">
      <c r="A34" s="17"/>
      <c r="B34" s="1"/>
      <c r="C34" s="1"/>
      <c r="D34" s="8"/>
      <c r="E34" s="8"/>
      <c r="F34" s="8"/>
      <c r="G34" s="1"/>
      <c r="H34" s="1"/>
    </row>
    <row r="35" spans="1:10" x14ac:dyDescent="0.25">
      <c r="B35" s="1"/>
      <c r="C35" s="1"/>
      <c r="D35" s="8"/>
      <c r="E35" s="8"/>
      <c r="F35" s="8"/>
      <c r="G35" s="1"/>
      <c r="H35" s="1"/>
    </row>
    <row r="36" spans="1:10" x14ac:dyDescent="0.25">
      <c r="B36" s="1"/>
      <c r="C36" s="1"/>
      <c r="D36" s="8"/>
      <c r="E36" s="8"/>
      <c r="F36" s="8"/>
      <c r="G36" s="1"/>
      <c r="H36" s="1"/>
    </row>
    <row r="37" spans="1:10" x14ac:dyDescent="0.25">
      <c r="B37" s="1"/>
      <c r="C37" s="1"/>
      <c r="D37" s="8"/>
      <c r="E37" s="8"/>
      <c r="F37" s="8"/>
      <c r="G37" s="1"/>
      <c r="H37" s="1"/>
    </row>
    <row r="1048576" spans="1:1" x14ac:dyDescent="0.25">
      <c r="A1048576" s="17"/>
    </row>
  </sheetData>
  <sheetProtection selectLockedCells="1"/>
  <mergeCells count="33">
    <mergeCell ref="E2:H2"/>
    <mergeCell ref="E3:H3"/>
    <mergeCell ref="F5:G5"/>
    <mergeCell ref="F6:G6"/>
    <mergeCell ref="F7:G7"/>
    <mergeCell ref="F8:G8"/>
    <mergeCell ref="F27:G27"/>
    <mergeCell ref="F28:G28"/>
    <mergeCell ref="F19:G19"/>
    <mergeCell ref="F20:G20"/>
    <mergeCell ref="F21:G21"/>
    <mergeCell ref="F22:G22"/>
    <mergeCell ref="F23:G23"/>
    <mergeCell ref="F9:G9"/>
    <mergeCell ref="F10:G10"/>
    <mergeCell ref="F11:G11"/>
    <mergeCell ref="F12:G12"/>
    <mergeCell ref="F13:G13"/>
    <mergeCell ref="F24:G24"/>
    <mergeCell ref="F25:G25"/>
    <mergeCell ref="F26:G26"/>
    <mergeCell ref="F14:G14"/>
    <mergeCell ref="F15:G15"/>
    <mergeCell ref="F16:G16"/>
    <mergeCell ref="F17:G17"/>
    <mergeCell ref="F18:G18"/>
    <mergeCell ref="I2:I3"/>
    <mergeCell ref="K4:L4"/>
    <mergeCell ref="K5:L26"/>
    <mergeCell ref="I6:J6"/>
    <mergeCell ref="I12:J12"/>
    <mergeCell ref="I18:J18"/>
    <mergeCell ref="I24:J24"/>
  </mergeCells>
  <dataValidations count="2">
    <dataValidation type="list" allowBlank="1" showInputMessage="1" showErrorMessage="1" sqref="C14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workbookViewId="0">
      <selection activeCell="C4" sqref="C4"/>
    </sheetView>
  </sheetViews>
  <sheetFormatPr defaultColWidth="8.85546875" defaultRowHeight="15" x14ac:dyDescent="0.25"/>
  <cols>
    <col min="1" max="9" width="8.85546875" style="17"/>
    <col min="10" max="10" width="10.42578125" style="17" bestFit="1" customWidth="1"/>
    <col min="11" max="17" width="8.85546875" style="17"/>
    <col min="18" max="18" width="10.42578125" style="17" bestFit="1" customWidth="1"/>
    <col min="19" max="16384" width="8.85546875" style="17"/>
  </cols>
  <sheetData>
    <row r="1" spans="1:21" ht="45" x14ac:dyDescent="0.25">
      <c r="A1" s="17" t="s">
        <v>9</v>
      </c>
      <c r="B1" s="45" t="s">
        <v>32</v>
      </c>
      <c r="C1" s="45" t="s">
        <v>33</v>
      </c>
      <c r="D1" s="45" t="s">
        <v>34</v>
      </c>
      <c r="E1" s="46" t="s">
        <v>35</v>
      </c>
      <c r="F1" s="46" t="s">
        <v>36</v>
      </c>
      <c r="G1" s="46"/>
      <c r="H1" s="47" t="s">
        <v>37</v>
      </c>
      <c r="I1" s="46" t="s">
        <v>38</v>
      </c>
      <c r="J1" s="45" t="s">
        <v>39</v>
      </c>
      <c r="K1" s="48" t="s">
        <v>40</v>
      </c>
      <c r="L1" s="45" t="s">
        <v>41</v>
      </c>
      <c r="M1" s="45" t="s">
        <v>42</v>
      </c>
      <c r="N1" s="49" t="s">
        <v>43</v>
      </c>
      <c r="O1" s="49" t="s">
        <v>44</v>
      </c>
      <c r="P1" s="49" t="s">
        <v>45</v>
      </c>
      <c r="Q1" s="45" t="s">
        <v>46</v>
      </c>
      <c r="R1" s="50" t="s">
        <v>47</v>
      </c>
      <c r="S1" s="45" t="s">
        <v>48</v>
      </c>
      <c r="T1" s="51" t="s">
        <v>49</v>
      </c>
      <c r="U1" s="52" t="s">
        <v>50</v>
      </c>
    </row>
    <row r="2" spans="1:21" x14ac:dyDescent="0.25">
      <c r="A2" s="17" t="s">
        <v>6</v>
      </c>
      <c r="B2" s="17" t="s">
        <v>51</v>
      </c>
      <c r="C2" s="17">
        <v>1</v>
      </c>
      <c r="E2" s="17" t="s">
        <v>52</v>
      </c>
      <c r="F2" s="17" t="b">
        <v>0</v>
      </c>
      <c r="H2" s="17" t="s">
        <v>58</v>
      </c>
      <c r="I2" s="17">
        <v>1</v>
      </c>
      <c r="J2" s="54">
        <v>72686</v>
      </c>
      <c r="K2" s="17" t="s">
        <v>59</v>
      </c>
      <c r="L2" s="30" t="s">
        <v>60</v>
      </c>
      <c r="Q2" s="30" t="s">
        <v>10</v>
      </c>
      <c r="R2" s="54">
        <v>72686</v>
      </c>
      <c r="S2" s="17" t="s">
        <v>61</v>
      </c>
    </row>
    <row r="3" spans="1:21" x14ac:dyDescent="0.25">
      <c r="A3" s="17" t="s">
        <v>7</v>
      </c>
      <c r="B3" s="17" t="s">
        <v>51</v>
      </c>
      <c r="C3" s="17">
        <v>2</v>
      </c>
      <c r="E3" s="17" t="s">
        <v>53</v>
      </c>
      <c r="F3" s="17" t="b">
        <v>0</v>
      </c>
      <c r="H3" s="17" t="s">
        <v>58</v>
      </c>
      <c r="I3" s="17">
        <v>2</v>
      </c>
      <c r="J3" s="54">
        <v>72686</v>
      </c>
      <c r="K3" s="17" t="s">
        <v>59</v>
      </c>
      <c r="L3" s="30" t="s">
        <v>60</v>
      </c>
      <c r="Q3" s="30" t="s">
        <v>10</v>
      </c>
      <c r="R3" s="54">
        <v>72686</v>
      </c>
      <c r="S3" s="17" t="s">
        <v>61</v>
      </c>
    </row>
    <row r="4" spans="1:21" x14ac:dyDescent="0.25">
      <c r="A4" s="28" t="s">
        <v>54</v>
      </c>
      <c r="I4" s="17">
        <v>3</v>
      </c>
      <c r="J4" s="54">
        <v>72686</v>
      </c>
      <c r="K4" s="17" t="s">
        <v>59</v>
      </c>
      <c r="L4" s="30" t="s">
        <v>60</v>
      </c>
    </row>
    <row r="5" spans="1:21" x14ac:dyDescent="0.25">
      <c r="A5" s="28" t="s">
        <v>55</v>
      </c>
      <c r="I5" s="53">
        <v>4</v>
      </c>
      <c r="J5" s="54">
        <v>72686</v>
      </c>
      <c r="K5" s="53" t="s">
        <v>59</v>
      </c>
      <c r="L5" s="3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Prøveoplysninger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2026-04-28T11:13:09Z</dcterms:modified>
</cp:coreProperties>
</file>