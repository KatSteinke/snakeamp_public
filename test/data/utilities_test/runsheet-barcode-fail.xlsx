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FE65DC83-005D-4626-AE54-A568E206F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<sst xmlns="http://schemas.openxmlformats.org/spreadsheetml/2006/main" count="73" uniqueCount="72">
  <si>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</si>
  <si>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</si>
  <si>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</si>
  <si>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</si>
  <si>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</si>
  <si>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</si>
  <si>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</si>
  <si>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</si>
  <si>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</si>
  <si>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</si>
  <si>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</si>
  <si>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</si>
  <si>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</si>
  <si>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</si>
  <si>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</si>
  <si>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</si>
  <si>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</si>
  <si>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</si>
  <si>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</si>
  <si>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</si>
  <si>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</si>
  <si>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</si>
  <si>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</si>
  <si>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</si>
  <si>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</si>
  <si>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</si>
  <si>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</si>
  <si>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</si>
  <si>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</si>
  <si>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</si>
  <si>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</si>
  <si>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</si>
  <si>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</si>
  <si>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</si>
  <si>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</si>
  <si>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</si>
  <si>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</si>
  <si>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</si>
  <si>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</si>
  <si>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</si>
  <si>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</si>
  <si>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</si>
  <si>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</si>
  <si>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</si>
  <si>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</si>
  <si>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</si>
  <si>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</si>
  <si>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</si>
  <si>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</si>
  <si>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</si>
  <si>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</si>
  <si>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</si>
  <si>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</si>
  <si>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</si>
  <si>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SARS Nanopore</t>
  </si>
  <si>
    <t>RB01</t>
  </si>
  <si>
    <t>RB02</t>
  </si>
  <si>
    <t>RB3</t>
  </si>
  <si>
    <t>Barkode</t>
  </si>
  <si>
    <t>RUNxxxx-INI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</si>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</sst>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2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0" fillId="6" borderId="0" xfId="0" applyFill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4" borderId="2" xfId="3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8576"/>
  <sheetViews>
    <sheetView tabSelected="1" zoomScaleNormal="100" workbookViewId="0">
      <selection activeCell="A8" sqref="A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4" ht="15.75" thickBot="1" x14ac:dyDescent="0.3">
      <c r="A1" s="53" t="s">
        <v>54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4" ht="48" customHeight="1" thickBot="1" x14ac:dyDescent="0.3">
      <c r="A2" s="43" t="s">
        <v>60</v>
      </c>
      <c r="B2" s="43" t="s">
        <v>61</v>
      </c>
      <c r="C2" s="44" t="s">
        <v>59</v>
      </c>
      <c r="D2" s="26"/>
      <c r="E2" s="56" t="s">
        <v>62</v>
      </c>
      <c r="F2" s="56"/>
      <c r="G2" s="56"/>
      <c r="H2" s="56"/>
      <c r="I2" s="57" t="s">
        <v>63</v>
      </c>
      <c r="J2" s="45" t="s">
        <v>64</v>
      </c>
      <c r="K2" s="46" t="s">
        <v>65</v>
      </c>
      <c r="L2" s="47" t="s">
        <v>66</v>
      </c>
      <c r="M2" s="26"/>
      <c r="N2" s="26"/>
    </row>
    <row r="3" spans="1:14" ht="44.45" customHeight="1" thickBot="1" x14ac:dyDescent="0.3">
      <c r="A3" s="41"/>
      <c r="B3" s="26"/>
      <c r="C3" s="30" t="s">
        <v>67</v>
      </c>
      <c r="D3" s="26"/>
      <c r="E3" s="59" t="s">
        <v>68</v>
      </c>
      <c r="F3" s="60"/>
      <c r="G3" s="60"/>
      <c r="H3" s="61"/>
      <c r="I3" s="58"/>
      <c r="J3" s="48"/>
      <c r="K3" s="49"/>
      <c r="L3" s="50" t="s">
        <v>69</v>
      </c>
      <c r="M3" s="26"/>
      <c r="N3" s="26"/>
    </row>
    <row r="4" spans="1:14" ht="53.25" customHeight="1" x14ac:dyDescent="0.25">
      <c r="A4" s="10" t="s">
        <v>70</v>
      </c>
      <c r="B4" s="21" t="s">
        <v>58</v>
      </c>
      <c r="C4" s="9" t="s">
        <v>7</v>
      </c>
      <c r="D4" s="26" t="s">
        <v>71</v>
      </c>
      <c r="E4" s="10" t="s">
        <v>2</v>
      </c>
      <c r="F4" s="54" t="s">
        <v>3</v>
      </c>
      <c r="G4" s="55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  <c r="N4" s="26"/>
    </row>
    <row r="5" spans="1:14" ht="15.75" customHeight="1" thickBot="1" x14ac:dyDescent="0.3">
      <c r="A5" s="27">
        <v>1112345678</v>
      </c>
      <c r="B5" s="6" t="s">
        <v>55</v>
      </c>
      <c r="C5" s="1"/>
      <c r="E5" s="31"/>
      <c r="F5" s="51" t="str">
        <f>IF(E5&lt;&gt;0,(IF(200/E5&gt;12.5,"12,5",200/E5)),"")</f>
        <v/>
      </c>
      <c r="G5" s="52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4" x14ac:dyDescent="0.25">
      <c r="A6" s="27">
        <v>1123456789</v>
      </c>
      <c r="B6" s="6" t="s">
        <v>56</v>
      </c>
      <c r="C6" s="1"/>
      <c r="E6" s="31"/>
      <c r="F6" s="51" t="str">
        <f t="shared" ref="F6:F28" si="0">IF(E6&lt;&gt;0,(IF(200/E6&gt;12.5,"12,5",200/E6)),"")</f>
        <v/>
      </c>
      <c r="G6" s="52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4" x14ac:dyDescent="0.25">
      <c r="A7" s="27">
        <v>1187654321</v>
      </c>
      <c r="B7" s="6" t="s">
        <v>57</v>
      </c>
      <c r="C7" s="1"/>
      <c r="E7" s="31"/>
      <c r="F7" s="51" t="str">
        <f t="shared" si="0"/>
        <v/>
      </c>
      <c r="G7" s="52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4" x14ac:dyDescent="0.25">
      <c r="A8" s="27"/>
      <c r="B8" s="1"/>
      <c r="C8" s="6"/>
      <c r="D8" s="1"/>
      <c r="E8" s="31"/>
      <c r="F8" s="51" t="str">
        <f t="shared" si="0"/>
        <v/>
      </c>
      <c r="G8" s="52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4" ht="15.75" thickBot="1" x14ac:dyDescent="0.3">
      <c r="A9" s="27"/>
      <c r="B9" s="1"/>
      <c r="C9" s="6"/>
      <c r="D9" s="1"/>
      <c r="E9" s="31"/>
      <c r="F9" s="51" t="str">
        <f t="shared" si="0"/>
        <v/>
      </c>
      <c r="G9" s="52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4" x14ac:dyDescent="0.25">
      <c r="A10" s="27"/>
      <c r="B10" s="1"/>
      <c r="C10" s="6"/>
      <c r="D10" s="1"/>
      <c r="E10" s="31"/>
      <c r="F10" s="51" t="str">
        <f t="shared" si="0"/>
        <v/>
      </c>
      <c r="G10" s="52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4" x14ac:dyDescent="0.25">
      <c r="A11" s="27"/>
      <c r="B11" s="1"/>
      <c r="C11" s="6"/>
      <c r="D11" s="1"/>
      <c r="E11" s="31"/>
      <c r="F11" s="51" t="str">
        <f t="shared" si="0"/>
        <v/>
      </c>
      <c r="G11" s="52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4" x14ac:dyDescent="0.25">
      <c r="A12" s="27"/>
      <c r="B12" s="6"/>
      <c r="C12" s="6"/>
      <c r="D12" s="1"/>
      <c r="E12" s="31"/>
      <c r="F12" s="51" t="str">
        <f t="shared" si="0"/>
        <v/>
      </c>
      <c r="G12" s="52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4" ht="15.75" thickBot="1" x14ac:dyDescent="0.3">
      <c r="A13" s="27"/>
      <c r="B13" s="1"/>
      <c r="C13" s="6"/>
      <c r="D13" s="1"/>
      <c r="E13" s="4"/>
      <c r="F13" s="51" t="str">
        <f t="shared" si="0"/>
        <v/>
      </c>
      <c r="G13" s="52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4" x14ac:dyDescent="0.25">
      <c r="A14" s="27"/>
      <c r="B14" s="1"/>
      <c r="C14" s="6"/>
      <c r="D14" s="1"/>
      <c r="E14" s="31"/>
      <c r="F14" s="51" t="str">
        <f t="shared" si="0"/>
        <v/>
      </c>
      <c r="G14" s="52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4" ht="15.75" thickBot="1" x14ac:dyDescent="0.3">
      <c r="A15" s="27"/>
      <c r="B15" s="6"/>
      <c r="C15" s="6"/>
      <c r="D15" s="1"/>
      <c r="E15" s="33"/>
      <c r="F15" s="51" t="str">
        <f t="shared" si="0"/>
        <v/>
      </c>
      <c r="G15" s="52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4" ht="15.75" thickBot="1" x14ac:dyDescent="0.3">
      <c r="A16" s="27"/>
      <c r="B16" s="24"/>
      <c r="C16" s="6"/>
      <c r="D16" s="1"/>
      <c r="E16" s="31"/>
      <c r="F16" s="51" t="str">
        <f t="shared" si="0"/>
        <v/>
      </c>
      <c r="G16" s="52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51" t="str">
        <f t="shared" si="0"/>
        <v/>
      </c>
      <c r="G17" s="52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51" t="str">
        <f t="shared" si="0"/>
        <v/>
      </c>
      <c r="G18" s="52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51" t="str">
        <f t="shared" si="0"/>
        <v/>
      </c>
      <c r="G19" s="52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51" t="str">
        <f t="shared" si="0"/>
        <v/>
      </c>
      <c r="G20" s="52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51" t="str">
        <f t="shared" si="0"/>
        <v/>
      </c>
      <c r="G21" s="52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51" t="str">
        <f t="shared" si="0"/>
        <v/>
      </c>
      <c r="G22" s="52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51" t="str">
        <f t="shared" si="0"/>
        <v/>
      </c>
      <c r="G23" s="52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51" t="str">
        <f t="shared" si="0"/>
        <v/>
      </c>
      <c r="G24" s="52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51" t="str">
        <f t="shared" si="0"/>
        <v/>
      </c>
      <c r="G25" s="52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51" t="str">
        <f t="shared" si="0"/>
        <v/>
      </c>
      <c r="G26" s="52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51" t="str">
        <f t="shared" si="0"/>
        <v/>
      </c>
      <c r="G27" s="52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51" t="str">
        <f t="shared" si="0"/>
        <v/>
      </c>
      <c r="G28" s="52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9">
    <mergeCell ref="A1:M1"/>
    <mergeCell ref="F5:G5"/>
    <mergeCell ref="F6:G6"/>
    <mergeCell ref="F7:G7"/>
    <mergeCell ref="F8:G8"/>
    <mergeCell ref="F4:G4"/>
    <mergeCell ref="E2:H2"/>
    <mergeCell ref="I2:I3"/>
    <mergeCell ref="E3:H3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B5:B6 C8:C28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2026-04-28T11:16:17Z</dcterms:modified>
</cp:coreProperties>
</file>