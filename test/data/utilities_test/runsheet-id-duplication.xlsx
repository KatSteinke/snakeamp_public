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A78B80E4-B1E2-4150-A912-177A77320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<sst xmlns="http://schemas.openxmlformats.org/spreadsheetml/2006/main" count="72" uniqueCount="71">
  <si>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</si>
  <si>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</si>
  <si>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</si>
  <si>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</si>
  <si>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</si>
  <si>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</si>
  <si>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</si>
  <si>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</si>
  <si>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</si>
  <si>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</si>
  <si>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</si>
  <si>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</si>
  <si>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</si>
  <si>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</si>
  <si>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</si>
  <si>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</si>
  <si>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</si>
  <si>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</si>
  <si>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</si>
  <si>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</si>
  <si>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</si>
  <si>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</si>
  <si>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</si>
  <si>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</si>
  <si>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</si>
  <si>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</si>
  <si>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</si>
  <si>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</si>
  <si>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</si>
  <si>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</si>
  <si>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</si>
  <si>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</si>
  <si>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</si>
  <si>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</si>
  <si>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</si>
  <si>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</si>
  <si>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</si>
  <si>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</si>
  <si>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</si>
  <si>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</si>
  <si>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</si>
  <si>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</si>
  <si>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</si>
  <si>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</si>
  <si>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</si>
  <si>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</si>
  <si>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</si>
  <si>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</si>
  <si>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</si>
  <si>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</si>
  <si>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</si>
  <si>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</si>
  <si>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</si>
  <si>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</si>
  <si>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</si>
  <si>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</si>
  <si>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</si>
  <si>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</si>
  <si>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</si>
  <si>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Prøvenummer</t>
  </si>
  <si>
    <t>Analyse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</si>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</sst>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0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6" fillId="0" borderId="6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6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61</v>
      </c>
      <c r="B2" s="43" t="s">
        <v>62</v>
      </c>
      <c r="C2" s="44" t="s">
        <v>58</v>
      </c>
      <c r="D2" s="26"/>
      <c r="E2" s="51" t="s">
        <v>63</v>
      </c>
      <c r="F2" s="51"/>
      <c r="G2" s="51"/>
      <c r="H2" s="51"/>
      <c r="I2" s="55" t="s">
        <v>64</v>
      </c>
      <c r="J2" s="45" t="s">
        <v>65</v>
      </c>
      <c r="K2" s="46" t="s">
        <v>66</v>
      </c>
      <c r="L2" s="47" t="s">
        <v>67</v>
      </c>
    </row>
    <row r="3" spans="1:13" ht="44.45" customHeight="1" thickBot="1" x14ac:dyDescent="0.3">
      <c r="A3" s="42"/>
      <c r="B3" s="26"/>
      <c r="C3" s="31" t="s">
        <v>68</v>
      </c>
      <c r="D3" s="26"/>
      <c r="E3" s="52" t="s">
        <v>69</v>
      </c>
      <c r="F3" s="53"/>
      <c r="G3" s="53"/>
      <c r="H3" s="54"/>
      <c r="I3" s="56"/>
      <c r="J3" s="48"/>
      <c r="K3" s="49"/>
      <c r="L3" s="50" t="s">
        <v>70</v>
      </c>
    </row>
    <row r="4" spans="1:13" ht="53.25" customHeight="1" x14ac:dyDescent="0.25">
      <c r="A4" s="10" t="s">
        <v>59</v>
      </c>
      <c r="B4" s="21" t="s">
        <v>57</v>
      </c>
      <c r="C4" s="9" t="s">
        <v>7</v>
      </c>
      <c r="D4" s="26" t="s">
        <v>60</v>
      </c>
      <c r="E4" s="10" t="s">
        <v>2</v>
      </c>
      <c r="F4" s="59" t="s">
        <v>3</v>
      </c>
      <c r="G4" s="59"/>
      <c r="H4" s="27" t="s">
        <v>4</v>
      </c>
      <c r="I4" s="27" t="s">
        <v>2</v>
      </c>
      <c r="J4" s="30" t="s">
        <v>5</v>
      </c>
      <c r="K4" s="29" t="s">
        <v>6</v>
      </c>
      <c r="L4" s="7" t="s">
        <v>0</v>
      </c>
      <c r="M4" s="7" t="s">
        <v>1</v>
      </c>
    </row>
    <row r="5" spans="1:13" ht="15.75" customHeight="1" thickBot="1" x14ac:dyDescent="0.3">
      <c r="A5" s="28">
        <v>1112345678</v>
      </c>
      <c r="B5" s="6" t="s">
        <v>54</v>
      </c>
      <c r="C5" s="1"/>
      <c r="E5" s="32"/>
      <c r="F5" s="57" t="str">
        <f>IF(E5&lt;&gt;0,(IF(200/E5&gt;12.5,"12,5",200/E5)),"")</f>
        <v/>
      </c>
      <c r="G5" s="58"/>
      <c r="H5" s="33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8">
        <v>1123456789</v>
      </c>
      <c r="B6" s="6" t="s">
        <v>55</v>
      </c>
      <c r="C6" s="1"/>
      <c r="E6" s="32"/>
      <c r="F6" s="57" t="str">
        <f t="shared" ref="F6:F28" si="0">IF(E6&lt;&gt;0,(IF(200/E6&gt;12.5,"12,5",200/E6)),"")</f>
        <v/>
      </c>
      <c r="G6" s="58"/>
      <c r="H6" s="33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8">
        <v>1123456789</v>
      </c>
      <c r="B7" s="6" t="s">
        <v>56</v>
      </c>
      <c r="C7" s="1"/>
      <c r="E7" s="32"/>
      <c r="F7" s="57" t="str">
        <f t="shared" si="0"/>
        <v/>
      </c>
      <c r="G7" s="58"/>
      <c r="H7" s="33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8"/>
      <c r="B8" s="1"/>
      <c r="C8" s="6"/>
      <c r="D8" s="1"/>
      <c r="E8" s="32"/>
      <c r="F8" s="57" t="str">
        <f t="shared" si="0"/>
        <v/>
      </c>
      <c r="G8" s="58"/>
      <c r="H8" s="33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8"/>
      <c r="B9" s="1"/>
      <c r="C9" s="6"/>
      <c r="D9" s="1"/>
      <c r="E9" s="32"/>
      <c r="F9" s="57" t="str">
        <f t="shared" si="0"/>
        <v/>
      </c>
      <c r="G9" s="58"/>
      <c r="H9" s="33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8"/>
      <c r="B10" s="1"/>
      <c r="C10" s="6"/>
      <c r="D10" s="1"/>
      <c r="E10" s="32"/>
      <c r="F10" s="57" t="str">
        <f t="shared" si="0"/>
        <v/>
      </c>
      <c r="G10" s="58"/>
      <c r="H10" s="33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8"/>
      <c r="B11" s="1"/>
      <c r="C11" s="6"/>
      <c r="D11" s="1"/>
      <c r="E11" s="32"/>
      <c r="F11" s="57" t="str">
        <f t="shared" si="0"/>
        <v/>
      </c>
      <c r="G11" s="58"/>
      <c r="H11" s="33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8"/>
      <c r="B12" s="6"/>
      <c r="C12" s="6"/>
      <c r="D12" s="1"/>
      <c r="E12" s="32"/>
      <c r="F12" s="57" t="str">
        <f t="shared" si="0"/>
        <v/>
      </c>
      <c r="G12" s="58"/>
      <c r="H12" s="33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8"/>
      <c r="B13" s="1"/>
      <c r="C13" s="6"/>
      <c r="D13" s="1"/>
      <c r="E13" s="4"/>
      <c r="F13" s="57" t="str">
        <f t="shared" si="0"/>
        <v/>
      </c>
      <c r="G13" s="58"/>
      <c r="H13" s="33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8"/>
      <c r="B14" s="1"/>
      <c r="C14" s="6"/>
      <c r="D14" s="1"/>
      <c r="E14" s="32"/>
      <c r="F14" s="57" t="str">
        <f t="shared" si="0"/>
        <v/>
      </c>
      <c r="G14" s="58"/>
      <c r="H14" s="33" t="str">
        <f t="shared" si="1"/>
        <v/>
      </c>
      <c r="I14" s="3"/>
      <c r="J14" s="3"/>
      <c r="K14" s="14"/>
      <c r="L14" s="37" t="s">
        <v>17</v>
      </c>
      <c r="M14" s="35"/>
    </row>
    <row r="15" spans="1:13" ht="15.75" thickBot="1" x14ac:dyDescent="0.3">
      <c r="A15" s="28"/>
      <c r="B15" s="6"/>
      <c r="C15" s="6"/>
      <c r="D15" s="1"/>
      <c r="E15" s="34"/>
      <c r="F15" s="57" t="str">
        <f t="shared" si="0"/>
        <v/>
      </c>
      <c r="G15" s="58"/>
      <c r="H15" s="33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8"/>
      <c r="B16" s="24"/>
      <c r="C16" s="6"/>
      <c r="D16" s="1"/>
      <c r="E16" s="32"/>
      <c r="F16" s="57" t="str">
        <f t="shared" si="0"/>
        <v/>
      </c>
      <c r="G16" s="58"/>
      <c r="H16" s="33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9"/>
      <c r="B17" s="24"/>
      <c r="C17" s="6"/>
      <c r="D17" s="1"/>
      <c r="E17" s="34"/>
      <c r="F17" s="57" t="str">
        <f t="shared" si="0"/>
        <v/>
      </c>
      <c r="G17" s="58"/>
      <c r="H17" s="33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9"/>
      <c r="B18" s="6"/>
      <c r="C18" s="6"/>
      <c r="D18" s="1"/>
      <c r="E18" s="32"/>
      <c r="F18" s="57" t="str">
        <f t="shared" si="0"/>
        <v/>
      </c>
      <c r="G18" s="58"/>
      <c r="H18" s="33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9"/>
      <c r="B19" s="1"/>
      <c r="C19" s="6"/>
      <c r="D19" s="1"/>
      <c r="E19" s="32"/>
      <c r="F19" s="57" t="str">
        <f t="shared" si="0"/>
        <v/>
      </c>
      <c r="G19" s="58"/>
      <c r="H19" s="33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9"/>
      <c r="B20" s="1"/>
      <c r="C20" s="6"/>
      <c r="D20" s="1"/>
      <c r="E20" s="32"/>
      <c r="F20" s="57" t="str">
        <f t="shared" si="0"/>
        <v/>
      </c>
      <c r="G20" s="58"/>
      <c r="H20" s="33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9"/>
      <c r="B21" s="1"/>
      <c r="C21" s="6"/>
      <c r="D21" s="1"/>
      <c r="E21" s="32"/>
      <c r="F21" s="57" t="str">
        <f t="shared" si="0"/>
        <v/>
      </c>
      <c r="G21" s="58"/>
      <c r="H21" s="33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9"/>
      <c r="B22" s="1"/>
      <c r="C22" s="6"/>
      <c r="D22" s="1"/>
      <c r="E22" s="32"/>
      <c r="F22" s="57" t="str">
        <f t="shared" si="0"/>
        <v/>
      </c>
      <c r="G22" s="58"/>
      <c r="H22" s="33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9"/>
      <c r="B23" s="1"/>
      <c r="C23" s="6"/>
      <c r="D23" s="1"/>
      <c r="E23" s="32"/>
      <c r="F23" s="57" t="str">
        <f t="shared" si="0"/>
        <v/>
      </c>
      <c r="G23" s="58"/>
      <c r="H23" s="33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9"/>
      <c r="B24" s="6"/>
      <c r="C24" s="6"/>
      <c r="D24" s="1"/>
      <c r="E24" s="32"/>
      <c r="F24" s="57" t="str">
        <f t="shared" si="0"/>
        <v/>
      </c>
      <c r="G24" s="58"/>
      <c r="H24" s="33" t="str">
        <f t="shared" si="1"/>
        <v/>
      </c>
      <c r="I24" s="3"/>
      <c r="J24" s="3"/>
      <c r="K24" s="14"/>
      <c r="L24" s="38" t="s">
        <v>27</v>
      </c>
      <c r="M24" s="36"/>
    </row>
    <row r="25" spans="1:13" x14ac:dyDescent="0.25">
      <c r="A25" s="39"/>
      <c r="B25" s="1"/>
      <c r="C25" s="6"/>
      <c r="D25" s="1"/>
      <c r="E25" s="32"/>
      <c r="F25" s="57" t="str">
        <f t="shared" si="0"/>
        <v/>
      </c>
      <c r="G25" s="58"/>
      <c r="H25" s="33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9"/>
      <c r="B26" s="1"/>
      <c r="C26" s="6"/>
      <c r="D26" s="1"/>
      <c r="E26" s="32"/>
      <c r="F26" s="57" t="str">
        <f t="shared" si="0"/>
        <v/>
      </c>
      <c r="G26" s="58"/>
      <c r="H26" s="33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9"/>
      <c r="B27" s="1"/>
      <c r="C27" s="6"/>
      <c r="D27" s="1"/>
      <c r="E27" s="32"/>
      <c r="F27" s="57" t="str">
        <f t="shared" si="0"/>
        <v/>
      </c>
      <c r="G27" s="58"/>
      <c r="H27" s="33" t="str">
        <f t="shared" si="1"/>
        <v/>
      </c>
      <c r="I27" s="3"/>
      <c r="J27" s="3"/>
      <c r="K27" s="23"/>
      <c r="L27" s="40"/>
      <c r="M27" s="41"/>
    </row>
    <row r="28" spans="1:13" x14ac:dyDescent="0.25">
      <c r="A28" s="6"/>
      <c r="B28" s="1"/>
      <c r="C28" s="6"/>
      <c r="D28" s="1"/>
      <c r="E28" s="32"/>
      <c r="F28" s="57" t="str">
        <f t="shared" si="0"/>
        <v/>
      </c>
      <c r="G28" s="58"/>
      <c r="H28" s="33" t="str">
        <f t="shared" si="1"/>
        <v/>
      </c>
      <c r="I28" s="3"/>
      <c r="J28" s="3"/>
      <c r="K28" s="23"/>
      <c r="L28" s="40"/>
      <c r="M28" s="41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18:G18"/>
    <mergeCell ref="F9:G9"/>
    <mergeCell ref="F10:G10"/>
    <mergeCell ref="F11:G11"/>
    <mergeCell ref="F12:G12"/>
    <mergeCell ref="F13:G13"/>
    <mergeCell ref="F7:G7"/>
    <mergeCell ref="F8:G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E2:H2"/>
    <mergeCell ref="E3:H3"/>
    <mergeCell ref="I2:I3"/>
    <mergeCell ref="F5:G5"/>
    <mergeCell ref="F6:G6"/>
    <mergeCell ref="F4:G4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C8:C28 B5:B7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2026-04-28T11:16:39Z</dcterms:modified>
</cp:coreProperties>
</file>