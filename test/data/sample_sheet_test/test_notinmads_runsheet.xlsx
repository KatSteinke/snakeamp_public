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U:\repos\snakeamp_clean\test\data\sample_sheet_test\"/>
    </mc:Choice>
  </mc:AlternateContent>
  <xr:revisionPtr revIDLastSave="0" documentId="13_ncr:1_{198FA7D9-F94E-4FD0-9EDF-A4FA308AE2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sheet" sheetId="1" r:id="rId1"/>
    <sheet name="Ark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H6" i="1" s="1"/>
  <c r="F5" i="1"/>
  <c r="H5" i="1" s="1"/>
  <c r="J5" i="1" l="1"/>
  <c r="K5" i="1" s="1"/>
</calcChain>
</file>

<file path=xl/sharedStrings.xml><?xml version="1.0" encoding="utf-8"?>
<sst xmlns="http://schemas.openxmlformats.org/spreadsheetml/2006/main" count="73" uniqueCount="72">
  <si>
    <t>Reagenser</t>
  </si>
  <si>
    <t>Lot nr</t>
  </si>
  <si>
    <t>ng/µl</t>
  </si>
  <si>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 xml:space="preserve"> µl cDNA/rør der skal tilsættes (200ng)</t>
    </r>
  </si>
  <si>
    <r>
      <t>µl vand (12,5µl-</t>
    </r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>)</t>
    </r>
  </si>
  <si>
    <t>Volume prøve i µl, så konc. bliver 15ng/12µl</t>
  </si>
  <si>
    <t>Volume EB i µl, så konc. bliver 15ng/12µl</t>
  </si>
  <si>
    <t>Eluat nr.</t>
  </si>
  <si>
    <t>LunaScript RT SuperMix Kit</t>
  </si>
  <si>
    <t>PRÆ Nuklease-frit H2O</t>
  </si>
  <si>
    <t>V3 Primer pool 1</t>
  </si>
  <si>
    <t>V3 Primer pool 2</t>
  </si>
  <si>
    <t>Q5 Hot Start HighFidelity 2XMaster Mix</t>
  </si>
  <si>
    <t>70% EtOH</t>
  </si>
  <si>
    <t>Ampure beads</t>
  </si>
  <si>
    <t>POST Nuklease-frit H2O</t>
  </si>
  <si>
    <t>BR Qubit kit</t>
  </si>
  <si>
    <t>Ultra II End Prep Reaction buffer</t>
  </si>
  <si>
    <t>Ultra II End Prep Enzyme mix</t>
  </si>
  <si>
    <t>Blunt TA Ligase mastermix</t>
  </si>
  <si>
    <t>SFB</t>
  </si>
  <si>
    <t>EB</t>
  </si>
  <si>
    <t>HS Qubit kit</t>
  </si>
  <si>
    <t>NEBNext Quick Lagation Reaction buffer</t>
  </si>
  <si>
    <t>Adapter mix (AMII)</t>
  </si>
  <si>
    <t>Quick T4 DNA Ligase</t>
  </si>
  <si>
    <t>SQB (Sequencing buffer)</t>
  </si>
  <si>
    <t>LB (Loading beads)</t>
  </si>
  <si>
    <t>FB (Flush buffer)</t>
  </si>
  <si>
    <t>FLT (Flush tether)</t>
  </si>
  <si>
    <t>NB01</t>
  </si>
  <si>
    <t>NB02</t>
  </si>
  <si>
    <t>NB03</t>
  </si>
  <si>
    <t>NB04</t>
  </si>
  <si>
    <t>NB05</t>
  </si>
  <si>
    <t>NB06</t>
  </si>
  <si>
    <t>NB07</t>
  </si>
  <si>
    <t>NB08</t>
  </si>
  <si>
    <t>NB09</t>
  </si>
  <si>
    <t>NB10</t>
  </si>
  <si>
    <t>NB11</t>
  </si>
  <si>
    <t>NB12</t>
  </si>
  <si>
    <t>NB13</t>
  </si>
  <si>
    <t>NB14</t>
  </si>
  <si>
    <t>NB15</t>
  </si>
  <si>
    <t>NB16</t>
  </si>
  <si>
    <t>NB17</t>
  </si>
  <si>
    <t>NB18</t>
  </si>
  <si>
    <t>NB19</t>
  </si>
  <si>
    <t>NB20</t>
  </si>
  <si>
    <t>NB21</t>
  </si>
  <si>
    <t>NB22</t>
  </si>
  <si>
    <t>NB23</t>
  </si>
  <si>
    <t>NB24</t>
  </si>
  <si>
    <t>RB01</t>
  </si>
  <si>
    <t>RB02</t>
  </si>
  <si>
    <t>RB07</t>
  </si>
  <si>
    <t>Barkode</t>
  </si>
  <si>
    <t>Dato for Oprensning (YYYY-MM-DD)</t>
  </si>
  <si>
    <t xml:space="preserve">Dato (YYYY-MM-DD) + initialer Libraryprep </t>
  </si>
  <si>
    <t>RUNxxxx-INI</t>
  </si>
  <si>
    <t>Final sample</t>
  </si>
  <si>
    <t>Runsheet oprettet og tjekket med runsheet tjek-scriptet</t>
  </si>
  <si>
    <t>Dato</t>
  </si>
  <si>
    <t>Initialer</t>
  </si>
  <si>
    <t>Protokol (versionsnummer)</t>
  </si>
  <si>
    <t>NANO_Amplicon_Y20990101_RUN0001_XYZ</t>
  </si>
  <si>
    <t>Qubit måling (BR kit)</t>
  </si>
  <si>
    <t>manuel</t>
  </si>
  <si>
    <t>Prøvenummer</t>
  </si>
  <si>
    <t>Analyse</t>
  </si>
  <si>
    <t>RB03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</si>
</sst>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r.&quot;_-;\-* #,##0.00\ &quot;kr.&quot;_-;_-* &quot;-&quot;??\ &quot;kr.&quot;_-;_-@_-"/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9C0006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  <fill>
      <patternFill patternType="solid">
        <fgColor indexed="9"/>
      </patternFill>
    </fill>
  </fills>
  <borders count="1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44" fontId="11" fillId="0" borderId="0" applyFont="0" applyFill="0" applyBorder="0" applyAlignment="0" applyProtection="0"/>
    <xf numFmtId="0" fontId="12" fillId="5" borderId="0" applyNumberFormat="0" applyBorder="0" applyAlignment="0" applyProtection="0"/>
  </cellStyleXfs>
  <cellXfs count="59">
    <xf numFmtId="0" fontId="0" fillId="0" borderId="0" xfId="0"/>
    <xf numFmtId="0" fontId="0" fillId="0" borderId="0" xfId="0" applyBorder="1"/>
    <xf numFmtId="0" fontId="3" fillId="4" borderId="2" xfId="3" applyBorder="1"/>
    <xf numFmtId="0" fontId="0" fillId="0" borderId="7" xfId="0" applyBorder="1" applyProtection="1">
      <protection locked="0"/>
    </xf>
    <xf numFmtId="0" fontId="1" fillId="2" borderId="7" xfId="1" applyBorder="1" applyProtection="1"/>
    <xf numFmtId="0" fontId="0" fillId="0" borderId="2" xfId="0" applyBorder="1" applyAlignment="1">
      <alignment horizontal="right"/>
    </xf>
    <xf numFmtId="0" fontId="4" fillId="4" borderId="2" xfId="3" applyFont="1" applyBorder="1" applyAlignment="1">
      <alignment horizontal="center" wrapText="1"/>
    </xf>
    <xf numFmtId="0" fontId="5" fillId="0" borderId="2" xfId="0" applyFont="1" applyBorder="1"/>
    <xf numFmtId="0" fontId="6" fillId="0" borderId="2" xfId="0" applyFont="1" applyBorder="1"/>
    <xf numFmtId="0" fontId="6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3" fillId="4" borderId="5" xfId="3" applyBorder="1" applyAlignment="1">
      <alignment horizontal="center"/>
    </xf>
    <xf numFmtId="0" fontId="1" fillId="2" borderId="5" xfId="1" applyBorder="1" applyAlignment="1" applyProtection="1">
      <alignment horizontal="center"/>
    </xf>
    <xf numFmtId="0" fontId="0" fillId="0" borderId="0" xfId="0" applyBorder="1" applyAlignment="1"/>
    <xf numFmtId="0" fontId="9" fillId="0" borderId="2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6" fillId="0" borderId="2" xfId="0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/>
    </xf>
    <xf numFmtId="0" fontId="3" fillId="4" borderId="2" xfId="3" applyBorder="1" applyAlignment="1">
      <alignment horizontal="center"/>
    </xf>
    <xf numFmtId="0" fontId="0" fillId="0" borderId="0" xfId="0"/>
    <xf numFmtId="0" fontId="0" fillId="0" borderId="0" xfId="0"/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0" fillId="0" borderId="2" xfId="0" applyBorder="1" applyProtection="1">
      <protection locked="0"/>
    </xf>
    <xf numFmtId="164" fontId="12" fillId="5" borderId="2" xfId="5" applyNumberFormat="1" applyBorder="1" applyProtection="1"/>
    <xf numFmtId="0" fontId="0" fillId="0" borderId="6" xfId="0" applyBorder="1" applyProtection="1">
      <protection locked="0"/>
    </xf>
    <xf numFmtId="0" fontId="9" fillId="0" borderId="11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5" fillId="0" borderId="11" xfId="0" applyFont="1" applyBorder="1"/>
    <xf numFmtId="0" fontId="5" fillId="0" borderId="7" xfId="0" applyFont="1" applyBorder="1"/>
    <xf numFmtId="0" fontId="5" fillId="0" borderId="0" xfId="0" applyFont="1" applyBorder="1"/>
    <xf numFmtId="0" fontId="9" fillId="0" borderId="0" xfId="0" applyFont="1" applyBorder="1" applyAlignment="1">
      <alignment horizontal="right"/>
    </xf>
    <xf numFmtId="14" fontId="6" fillId="0" borderId="6" xfId="0" applyNumberFormat="1" applyFont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44" fontId="10" fillId="0" borderId="2" xfId="4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49" fontId="6" fillId="0" borderId="6" xfId="0" quotePrefix="1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164" fontId="12" fillId="5" borderId="3" xfId="5" applyNumberFormat="1" applyBorder="1" applyAlignment="1" applyProtection="1">
      <alignment horizontal="center"/>
    </xf>
    <xf numFmtId="164" fontId="12" fillId="5" borderId="4" xfId="5" applyNumberFormat="1" applyBorder="1" applyAlignment="1" applyProtection="1">
      <alignment horizontal="center"/>
    </xf>
    <xf numFmtId="0" fontId="7" fillId="4" borderId="2" xfId="3" applyFont="1" applyBorder="1" applyAlignment="1">
      <alignment horizontal="center" vertical="center" wrapText="1"/>
    </xf>
    <xf numFmtId="0" fontId="8" fillId="3" borderId="3" xfId="2" applyFont="1" applyBorder="1" applyAlignment="1">
      <alignment horizontal="center" vertical="center" wrapText="1"/>
    </xf>
    <xf numFmtId="0" fontId="8" fillId="3" borderId="4" xfId="2" applyFont="1" applyBorder="1" applyAlignment="1">
      <alignment horizontal="center" vertical="center" wrapText="1"/>
    </xf>
    <xf numFmtId="0" fontId="8" fillId="3" borderId="5" xfId="2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6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</cellXfs>
  <cellStyles count="6">
    <cellStyle name="60 % - Farve1" xfId="5" builtinId="32"/>
    <cellStyle name="God" xfId="1" builtinId="26"/>
    <cellStyle name="Kontrollér celle" xfId="3" builtinId="23"/>
    <cellStyle name="Normal" xfId="0" builtinId="0"/>
    <cellStyle name="Ugyldig" xfId="2" builtinId="27"/>
    <cellStyle name="Valuta" xfId="4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8576"/>
  <sheetViews>
    <sheetView tabSelected="1" zoomScaleNormal="100" workbookViewId="0">
      <selection activeCell="A8" sqref="A8"/>
    </sheetView>
  </sheetViews>
  <sheetFormatPr defaultRowHeight="15" x14ac:dyDescent="0.25"/>
  <cols>
    <col min="1" max="1" width="14.5703125" customWidth="1"/>
    <col min="2" max="2" width="11.5703125" customWidth="1"/>
    <col min="3" max="3" width="7.7109375" customWidth="1"/>
    <col min="4" max="4" width="8.28515625" customWidth="1"/>
    <col min="5" max="5" width="8.5703125" customWidth="1"/>
    <col min="6" max="6" width="7.5703125" customWidth="1"/>
    <col min="7" max="7" width="4.28515625" customWidth="1"/>
    <col min="8" max="8" width="7" customWidth="1"/>
    <col min="9" max="9" width="11.7109375" customWidth="1"/>
    <col min="10" max="10" width="12.7109375" customWidth="1"/>
    <col min="11" max="11" width="14.85546875" customWidth="1"/>
    <col min="12" max="12" width="27.140625" customWidth="1"/>
    <col min="13" max="13" width="9.85546875" customWidth="1"/>
  </cols>
  <sheetData>
    <row r="1" spans="1:13" s="24" customFormat="1" ht="15.75" thickBot="1" x14ac:dyDescent="0.3"/>
    <row r="2" spans="1:13" ht="48" customHeight="1" thickBot="1" x14ac:dyDescent="0.3">
      <c r="A2" s="41" t="s">
        <v>58</v>
      </c>
      <c r="B2" s="41" t="s">
        <v>59</v>
      </c>
      <c r="C2" s="42" t="s">
        <v>60</v>
      </c>
      <c r="D2" s="24"/>
      <c r="E2" s="51" t="s">
        <v>61</v>
      </c>
      <c r="F2" s="51"/>
      <c r="G2" s="51"/>
      <c r="H2" s="51"/>
      <c r="I2" s="55" t="s">
        <v>62</v>
      </c>
      <c r="J2" s="43" t="s">
        <v>63</v>
      </c>
      <c r="K2" s="44" t="s">
        <v>64</v>
      </c>
      <c r="L2" s="45" t="s">
        <v>65</v>
      </c>
      <c r="M2" s="24"/>
    </row>
    <row r="3" spans="1:13" ht="44.45" customHeight="1" thickBot="1" x14ac:dyDescent="0.3">
      <c r="A3" s="37"/>
      <c r="B3" s="24"/>
      <c r="C3" s="27" t="s">
        <v>66</v>
      </c>
      <c r="D3" s="24"/>
      <c r="E3" s="52" t="s">
        <v>67</v>
      </c>
      <c r="F3" s="53"/>
      <c r="G3" s="53"/>
      <c r="H3" s="54"/>
      <c r="I3" s="56"/>
      <c r="J3" s="46"/>
      <c r="K3" s="47"/>
      <c r="L3" s="48" t="s">
        <v>68</v>
      </c>
      <c r="M3" s="24"/>
    </row>
    <row r="4" spans="1:13" ht="53.25" customHeight="1" x14ac:dyDescent="0.25">
      <c r="A4" s="9" t="s">
        <v>69</v>
      </c>
      <c r="B4" s="20" t="s">
        <v>57</v>
      </c>
      <c r="C4" s="8" t="s">
        <v>7</v>
      </c>
      <c r="D4" s="24" t="s">
        <v>70</v>
      </c>
      <c r="E4" s="9" t="s">
        <v>2</v>
      </c>
      <c r="F4" s="57" t="s">
        <v>3</v>
      </c>
      <c r="G4" s="58"/>
      <c r="H4" s="40" t="s">
        <v>4</v>
      </c>
      <c r="I4" s="40" t="s">
        <v>2</v>
      </c>
      <c r="J4" s="26" t="s">
        <v>5</v>
      </c>
      <c r="K4" s="25" t="s">
        <v>6</v>
      </c>
      <c r="L4" s="6" t="s">
        <v>0</v>
      </c>
      <c r="M4" s="6" t="s">
        <v>1</v>
      </c>
    </row>
    <row r="5" spans="1:13" ht="15.75" customHeight="1" thickBot="1" x14ac:dyDescent="0.3">
      <c r="A5" s="38">
        <v>1121710000</v>
      </c>
      <c r="B5" s="5" t="s">
        <v>54</v>
      </c>
      <c r="C5" s="39">
        <v>1</v>
      </c>
      <c r="E5" s="28">
        <v>145</v>
      </c>
      <c r="F5" s="49">
        <f>IF(E5&lt;&gt;0,(IF(200/E5&gt;12.5,"12,5",200/E5)),"")</f>
        <v>1.3793103448275863</v>
      </c>
      <c r="G5" s="50"/>
      <c r="H5" s="29">
        <f>IF(E5=0,"",12.5-F5)</f>
        <v>11.120689655172413</v>
      </c>
      <c r="I5" s="3">
        <v>4.04</v>
      </c>
      <c r="J5" s="4">
        <f>15/I5</f>
        <v>3.7128712871287131</v>
      </c>
      <c r="K5" s="14">
        <f>12-J5</f>
        <v>8.2871287128712865</v>
      </c>
      <c r="L5" s="11" t="s">
        <v>8</v>
      </c>
      <c r="M5" s="17"/>
    </row>
    <row r="6" spans="1:13" x14ac:dyDescent="0.25">
      <c r="A6" s="38">
        <v>1121700000</v>
      </c>
      <c r="B6" s="5" t="s">
        <v>55</v>
      </c>
      <c r="C6" s="39">
        <v>2</v>
      </c>
      <c r="E6" s="28">
        <v>62.4</v>
      </c>
      <c r="F6" s="49">
        <f t="shared" ref="F6" si="0">IF(E6&lt;&gt;0,(IF(200/E6&gt;12.5,"12,5",200/E6)),"")</f>
        <v>3.2051282051282053</v>
      </c>
      <c r="G6" s="50"/>
      <c r="H6" s="29">
        <f t="shared" ref="H6" si="1">IF(E6=0,"",12.5-F6)</f>
        <v>9.2948717948717956</v>
      </c>
      <c r="I6" s="2"/>
      <c r="J6" s="2"/>
      <c r="K6" s="22"/>
      <c r="L6" s="10" t="s">
        <v>9</v>
      </c>
      <c r="M6" s="18"/>
    </row>
    <row r="7" spans="1:13" x14ac:dyDescent="0.25">
      <c r="A7">
        <v>1121410000</v>
      </c>
      <c r="B7" t="s">
        <v>71</v>
      </c>
      <c r="C7">
        <v>3</v>
      </c>
      <c r="E7" s="28"/>
      <c r="F7" s="49"/>
      <c r="G7" s="50"/>
      <c r="H7" s="29"/>
      <c r="I7" s="2"/>
      <c r="J7" s="2"/>
      <c r="K7" s="13"/>
      <c r="L7" s="7" t="s">
        <v>10</v>
      </c>
      <c r="M7" s="16"/>
    </row>
    <row r="8" spans="1:13" x14ac:dyDescent="0.25">
      <c r="A8" s="38">
        <v>1121400000</v>
      </c>
      <c r="B8" s="5" t="s">
        <v>56</v>
      </c>
      <c r="C8" s="39">
        <v>7</v>
      </c>
      <c r="E8" s="28"/>
      <c r="F8" s="49"/>
      <c r="G8" s="50"/>
      <c r="H8" s="29"/>
      <c r="I8" s="2"/>
      <c r="J8" s="2"/>
      <c r="K8" s="13"/>
      <c r="L8" s="7" t="s">
        <v>11</v>
      </c>
      <c r="M8" s="16"/>
    </row>
    <row r="9" spans="1:13" ht="15.75" thickBot="1" x14ac:dyDescent="0.3">
      <c r="A9" s="38"/>
      <c r="B9" s="5"/>
      <c r="C9" s="39"/>
      <c r="E9" s="28"/>
      <c r="F9" s="49"/>
      <c r="G9" s="50"/>
      <c r="H9" s="29"/>
      <c r="I9" s="2"/>
      <c r="J9" s="2"/>
      <c r="K9" s="13"/>
      <c r="L9" s="11" t="s">
        <v>12</v>
      </c>
      <c r="M9" s="17"/>
    </row>
    <row r="10" spans="1:13" x14ac:dyDescent="0.25">
      <c r="A10" s="38"/>
      <c r="B10" s="5"/>
      <c r="C10" s="39"/>
      <c r="E10" s="28"/>
      <c r="F10" s="49"/>
      <c r="G10" s="50"/>
      <c r="H10" s="29"/>
      <c r="I10" s="2"/>
      <c r="J10" s="2"/>
      <c r="K10" s="13"/>
      <c r="L10" s="10" t="s">
        <v>13</v>
      </c>
      <c r="M10" s="18"/>
    </row>
    <row r="11" spans="1:13" x14ac:dyDescent="0.25">
      <c r="E11" s="28"/>
      <c r="F11" s="49"/>
      <c r="G11" s="50"/>
      <c r="H11" s="29"/>
      <c r="I11" s="2"/>
      <c r="J11" s="2"/>
      <c r="K11" s="13"/>
      <c r="L11" s="7" t="s">
        <v>14</v>
      </c>
      <c r="M11" s="16"/>
    </row>
    <row r="12" spans="1:13" x14ac:dyDescent="0.25">
      <c r="C12" s="5"/>
      <c r="D12" s="39"/>
      <c r="E12" s="28"/>
      <c r="F12" s="49"/>
      <c r="G12" s="50"/>
      <c r="H12" s="29"/>
      <c r="I12" s="2"/>
      <c r="J12" s="2"/>
      <c r="K12" s="13"/>
      <c r="L12" s="7" t="s">
        <v>15</v>
      </c>
      <c r="M12" s="16"/>
    </row>
    <row r="13" spans="1:13" ht="15.75" thickBot="1" x14ac:dyDescent="0.3">
      <c r="A13" s="38"/>
      <c r="B13" s="38"/>
      <c r="C13" s="5"/>
      <c r="D13" s="39"/>
      <c r="E13" s="3"/>
      <c r="F13" s="49"/>
      <c r="G13" s="50"/>
      <c r="H13" s="29"/>
      <c r="I13" s="2"/>
      <c r="J13" s="2"/>
      <c r="K13" s="13"/>
      <c r="L13" s="11" t="s">
        <v>16</v>
      </c>
      <c r="M13" s="17"/>
    </row>
    <row r="14" spans="1:13" x14ac:dyDescent="0.25">
      <c r="A14" s="38"/>
      <c r="B14" s="38"/>
      <c r="C14" s="5"/>
      <c r="D14" s="39"/>
      <c r="E14" s="28"/>
      <c r="F14" s="49"/>
      <c r="G14" s="50"/>
      <c r="H14" s="29"/>
      <c r="I14" s="2"/>
      <c r="J14" s="2"/>
      <c r="K14" s="13"/>
      <c r="L14" s="33" t="s">
        <v>17</v>
      </c>
      <c r="M14" s="31"/>
    </row>
    <row r="15" spans="1:13" ht="15.75" thickBot="1" x14ac:dyDescent="0.3">
      <c r="A15" s="38"/>
      <c r="B15" s="38"/>
      <c r="C15" s="5"/>
      <c r="D15" s="39"/>
      <c r="E15" s="30"/>
      <c r="F15" s="49"/>
      <c r="G15" s="50"/>
      <c r="H15" s="29"/>
      <c r="I15" s="2"/>
      <c r="J15" s="2"/>
      <c r="K15" s="13"/>
      <c r="L15" s="11" t="s">
        <v>18</v>
      </c>
      <c r="M15" s="17"/>
    </row>
    <row r="16" spans="1:13" ht="15.75" thickBot="1" x14ac:dyDescent="0.3">
      <c r="A16" s="38"/>
      <c r="B16" s="38"/>
      <c r="C16" s="5"/>
      <c r="D16" s="39"/>
      <c r="E16" s="28"/>
      <c r="F16" s="49"/>
      <c r="G16" s="50"/>
      <c r="H16" s="29"/>
      <c r="I16" s="2"/>
      <c r="J16" s="2"/>
      <c r="K16" s="13"/>
      <c r="L16" s="12" t="s">
        <v>19</v>
      </c>
      <c r="M16" s="19"/>
    </row>
    <row r="17" spans="1:13" x14ac:dyDescent="0.25">
      <c r="A17" s="38"/>
      <c r="B17" s="38"/>
      <c r="C17" s="5"/>
      <c r="D17" s="39"/>
      <c r="E17" s="30"/>
      <c r="F17" s="49"/>
      <c r="G17" s="50"/>
      <c r="H17" s="29"/>
      <c r="I17" s="2"/>
      <c r="J17" s="2"/>
      <c r="K17" s="13"/>
      <c r="L17" s="10" t="s">
        <v>20</v>
      </c>
      <c r="M17" s="18"/>
    </row>
    <row r="18" spans="1:13" ht="15.75" thickBot="1" x14ac:dyDescent="0.3">
      <c r="A18" s="38"/>
      <c r="B18" s="38"/>
      <c r="C18" s="5"/>
      <c r="D18" s="39"/>
      <c r="E18" s="28"/>
      <c r="F18" s="49"/>
      <c r="G18" s="50"/>
      <c r="H18" s="29"/>
      <c r="I18" s="2"/>
      <c r="J18" s="2"/>
      <c r="K18" s="13"/>
      <c r="L18" s="11" t="s">
        <v>21</v>
      </c>
      <c r="M18" s="17"/>
    </row>
    <row r="19" spans="1:13" ht="15.75" thickBot="1" x14ac:dyDescent="0.3">
      <c r="A19" s="38"/>
      <c r="B19" s="38"/>
      <c r="C19" s="5"/>
      <c r="D19" s="39"/>
      <c r="E19" s="28"/>
      <c r="F19" s="49"/>
      <c r="G19" s="50"/>
      <c r="H19" s="29"/>
      <c r="I19" s="2"/>
      <c r="J19" s="2"/>
      <c r="K19" s="13"/>
      <c r="L19" s="12" t="s">
        <v>22</v>
      </c>
      <c r="M19" s="19"/>
    </row>
    <row r="20" spans="1:13" x14ac:dyDescent="0.25">
      <c r="A20" s="38"/>
      <c r="B20" s="38"/>
      <c r="C20" s="5"/>
      <c r="D20" s="39"/>
      <c r="E20" s="28"/>
      <c r="F20" s="49"/>
      <c r="G20" s="50"/>
      <c r="H20" s="29"/>
      <c r="I20" s="2"/>
      <c r="J20" s="2"/>
      <c r="K20" s="13"/>
      <c r="L20" s="10" t="s">
        <v>23</v>
      </c>
      <c r="M20" s="18"/>
    </row>
    <row r="21" spans="1:13" x14ac:dyDescent="0.25">
      <c r="A21" s="38"/>
      <c r="B21" s="38"/>
      <c r="C21" s="5"/>
      <c r="D21" s="39"/>
      <c r="E21" s="28"/>
      <c r="F21" s="49"/>
      <c r="G21" s="50"/>
      <c r="H21" s="29"/>
      <c r="I21" s="2"/>
      <c r="J21" s="2"/>
      <c r="K21" s="13"/>
      <c r="L21" s="7" t="s">
        <v>24</v>
      </c>
      <c r="M21" s="16"/>
    </row>
    <row r="22" spans="1:13" ht="15.75" thickBot="1" x14ac:dyDescent="0.3">
      <c r="A22" s="38"/>
      <c r="B22" s="38"/>
      <c r="C22" s="5"/>
      <c r="D22" s="39"/>
      <c r="E22" s="28"/>
      <c r="F22" s="49"/>
      <c r="G22" s="50"/>
      <c r="H22" s="29"/>
      <c r="I22" s="2"/>
      <c r="J22" s="2"/>
      <c r="K22" s="13"/>
      <c r="L22" s="11" t="s">
        <v>25</v>
      </c>
      <c r="M22" s="17"/>
    </row>
    <row r="23" spans="1:13" x14ac:dyDescent="0.25">
      <c r="A23" s="38"/>
      <c r="B23" s="38"/>
      <c r="C23" s="5"/>
      <c r="D23" s="39"/>
      <c r="E23" s="28"/>
      <c r="F23" s="49"/>
      <c r="G23" s="50"/>
      <c r="H23" s="29"/>
      <c r="I23" s="2"/>
      <c r="J23" s="2"/>
      <c r="K23" s="13"/>
      <c r="L23" s="7" t="s">
        <v>26</v>
      </c>
      <c r="M23" s="18"/>
    </row>
    <row r="24" spans="1:13" x14ac:dyDescent="0.25">
      <c r="A24" s="38"/>
      <c r="B24" s="38"/>
      <c r="C24" s="5"/>
      <c r="D24" s="39"/>
      <c r="E24" s="28"/>
      <c r="F24" s="49"/>
      <c r="G24" s="50"/>
      <c r="H24" s="29"/>
      <c r="I24" s="2"/>
      <c r="J24" s="2"/>
      <c r="K24" s="13"/>
      <c r="L24" s="34" t="s">
        <v>27</v>
      </c>
      <c r="M24" s="32"/>
    </row>
    <row r="25" spans="1:13" x14ac:dyDescent="0.25">
      <c r="A25" s="38"/>
      <c r="B25" s="38"/>
      <c r="C25" s="5"/>
      <c r="D25" s="39"/>
      <c r="E25" s="28"/>
      <c r="F25" s="49"/>
      <c r="G25" s="50"/>
      <c r="H25" s="29"/>
      <c r="I25" s="2"/>
      <c r="J25" s="2"/>
      <c r="K25" s="13"/>
      <c r="L25" s="7" t="s">
        <v>28</v>
      </c>
      <c r="M25" s="16"/>
    </row>
    <row r="26" spans="1:13" x14ac:dyDescent="0.25">
      <c r="A26" s="38"/>
      <c r="B26" s="38"/>
      <c r="C26" s="5"/>
      <c r="D26" s="39"/>
      <c r="E26" s="28"/>
      <c r="F26" s="49"/>
      <c r="G26" s="50"/>
      <c r="H26" s="29"/>
      <c r="I26" s="2"/>
      <c r="J26" s="2"/>
      <c r="K26" s="13"/>
      <c r="L26" s="7" t="s">
        <v>29</v>
      </c>
      <c r="M26" s="16"/>
    </row>
    <row r="27" spans="1:13" x14ac:dyDescent="0.25">
      <c r="A27" s="38"/>
      <c r="B27" s="38"/>
      <c r="C27" s="5"/>
      <c r="D27" s="39"/>
      <c r="E27" s="28"/>
      <c r="F27" s="49"/>
      <c r="G27" s="50"/>
      <c r="H27" s="29"/>
      <c r="I27" s="2"/>
      <c r="J27" s="2"/>
      <c r="K27" s="22"/>
      <c r="L27" s="35"/>
      <c r="M27" s="36"/>
    </row>
    <row r="28" spans="1:13" x14ac:dyDescent="0.25">
      <c r="A28" s="39"/>
      <c r="B28" s="39"/>
      <c r="C28" s="5"/>
      <c r="D28" s="39"/>
      <c r="E28" s="28"/>
      <c r="F28" s="49"/>
      <c r="G28" s="50"/>
      <c r="H28" s="29"/>
      <c r="I28" s="2"/>
      <c r="J28" s="2"/>
      <c r="K28" s="22"/>
      <c r="L28" s="35"/>
      <c r="M28" s="36"/>
    </row>
    <row r="29" spans="1:13" x14ac:dyDescent="0.25">
      <c r="B29" s="1"/>
      <c r="C29" s="1"/>
      <c r="D29" s="15"/>
      <c r="E29" s="15"/>
      <c r="F29" s="15"/>
      <c r="G29" s="1"/>
      <c r="H29" s="1"/>
      <c r="L29" s="1"/>
    </row>
    <row r="30" spans="1:13" x14ac:dyDescent="0.25">
      <c r="A30" s="23"/>
      <c r="B30" s="1"/>
      <c r="C30" s="1"/>
      <c r="D30" s="21"/>
      <c r="E30" s="15"/>
      <c r="F30" s="15"/>
      <c r="G30" s="1"/>
      <c r="H30" s="1"/>
    </row>
    <row r="31" spans="1:13" x14ac:dyDescent="0.25">
      <c r="B31" s="1"/>
      <c r="C31" s="1"/>
      <c r="D31" s="15"/>
      <c r="E31" s="15"/>
      <c r="F31" s="15"/>
      <c r="G31" s="1"/>
      <c r="H31" s="1"/>
    </row>
    <row r="32" spans="1:13" x14ac:dyDescent="0.25">
      <c r="B32" s="1"/>
      <c r="C32" s="1"/>
      <c r="D32" s="15"/>
      <c r="E32" s="15"/>
      <c r="F32" s="15"/>
      <c r="G32" s="1"/>
      <c r="H32" s="1"/>
    </row>
    <row r="33" spans="1:10" s="24" customFormat="1" x14ac:dyDescent="0.25">
      <c r="B33" s="1"/>
      <c r="C33" s="1"/>
      <c r="D33" s="15"/>
      <c r="E33" s="15"/>
      <c r="F33" s="15"/>
      <c r="G33" s="1"/>
      <c r="H33" s="1"/>
      <c r="I33"/>
      <c r="J33"/>
    </row>
    <row r="34" spans="1:10" x14ac:dyDescent="0.25">
      <c r="A34" s="24"/>
      <c r="B34" s="1"/>
      <c r="C34" s="1"/>
      <c r="D34" s="15"/>
      <c r="E34" s="15"/>
      <c r="F34" s="15"/>
      <c r="G34" s="1"/>
      <c r="H34" s="1"/>
    </row>
    <row r="35" spans="1:10" x14ac:dyDescent="0.25">
      <c r="B35" s="1"/>
      <c r="C35" s="1"/>
      <c r="D35" s="15"/>
      <c r="E35" s="15"/>
      <c r="F35" s="15"/>
      <c r="G35" s="1"/>
      <c r="H35" s="1"/>
    </row>
    <row r="36" spans="1:10" x14ac:dyDescent="0.25">
      <c r="B36" s="1"/>
      <c r="C36" s="1"/>
      <c r="D36" s="15"/>
      <c r="E36" s="15"/>
      <c r="F36" s="15"/>
      <c r="G36" s="1"/>
      <c r="H36" s="1"/>
    </row>
    <row r="37" spans="1:10" x14ac:dyDescent="0.25">
      <c r="B37" s="1"/>
      <c r="C37" s="1"/>
      <c r="D37" s="15"/>
      <c r="E37" s="15"/>
      <c r="F37" s="15"/>
      <c r="G37" s="1"/>
      <c r="H37" s="1"/>
    </row>
    <row r="1048576" spans="1:1" x14ac:dyDescent="0.25">
      <c r="A1048576" s="24"/>
    </row>
  </sheetData>
  <sheetProtection selectLockedCells="1"/>
  <mergeCells count="28">
    <mergeCell ref="I2:I3"/>
    <mergeCell ref="F24:G24"/>
    <mergeCell ref="F25:G25"/>
    <mergeCell ref="F26:G26"/>
    <mergeCell ref="F14:G14"/>
    <mergeCell ref="F15:G15"/>
    <mergeCell ref="F16:G16"/>
    <mergeCell ref="F17:G17"/>
    <mergeCell ref="F18:G18"/>
    <mergeCell ref="F9:G9"/>
    <mergeCell ref="F10:G10"/>
    <mergeCell ref="F11:G11"/>
    <mergeCell ref="F12:G12"/>
    <mergeCell ref="F13:G13"/>
    <mergeCell ref="F4:G4"/>
    <mergeCell ref="F5:G5"/>
    <mergeCell ref="F27:G27"/>
    <mergeCell ref="F28:G28"/>
    <mergeCell ref="F19:G19"/>
    <mergeCell ref="F20:G20"/>
    <mergeCell ref="F21:G21"/>
    <mergeCell ref="F22:G22"/>
    <mergeCell ref="F23:G23"/>
    <mergeCell ref="F6:G6"/>
    <mergeCell ref="F7:G7"/>
    <mergeCell ref="F8:G8"/>
    <mergeCell ref="E2:H2"/>
    <mergeCell ref="E3:H3"/>
  </mergeCells>
  <dataValidations count="1">
    <dataValidation type="list" allowBlank="1" showInputMessage="1" showErrorMessage="1" sqref="L3" xr:uid="{00000000-0002-0000-0000-000000000000}">
      <formula1>"manuel, robot"</formula1>
    </dataValidation>
  </dataValidations>
  <pageMargins left="0.7" right="0.7" top="0.75" bottom="0.75" header="0.3" footer="0.3"/>
  <pageSetup paperSize="9" scale="8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'Ark2'!$A$1:$A$24</xm:f>
          </x14:formula1>
          <xm:sqref>C12:C28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>
      <selection activeCell="C9" sqref="C9"/>
    </sheetView>
  </sheetViews>
  <sheetFormatPr defaultRowHeight="15" x14ac:dyDescent="0.25"/>
  <sheetData>
    <row r="1" spans="1:1" x14ac:dyDescent="0.25">
      <c r="A1" t="s">
        <v>30</v>
      </c>
    </row>
    <row r="2" spans="1:1" x14ac:dyDescent="0.25">
      <c r="A2" t="s">
        <v>31</v>
      </c>
    </row>
    <row r="3" spans="1:1" x14ac:dyDescent="0.25">
      <c r="A3" s="24" t="s">
        <v>32</v>
      </c>
    </row>
    <row r="4" spans="1:1" x14ac:dyDescent="0.25">
      <c r="A4" s="24" t="s">
        <v>33</v>
      </c>
    </row>
    <row r="5" spans="1:1" x14ac:dyDescent="0.25">
      <c r="A5" s="24" t="s">
        <v>34</v>
      </c>
    </row>
    <row r="6" spans="1:1" x14ac:dyDescent="0.25">
      <c r="A6" s="24" t="s">
        <v>35</v>
      </c>
    </row>
    <row r="7" spans="1:1" x14ac:dyDescent="0.25">
      <c r="A7" s="24" t="s">
        <v>36</v>
      </c>
    </row>
    <row r="8" spans="1:1" x14ac:dyDescent="0.25">
      <c r="A8" s="24" t="s">
        <v>37</v>
      </c>
    </row>
    <row r="9" spans="1:1" x14ac:dyDescent="0.25">
      <c r="A9" s="24" t="s">
        <v>38</v>
      </c>
    </row>
    <row r="10" spans="1:1" x14ac:dyDescent="0.25">
      <c r="A10" s="24" t="s">
        <v>39</v>
      </c>
    </row>
    <row r="11" spans="1:1" x14ac:dyDescent="0.25">
      <c r="A11" s="24" t="s">
        <v>40</v>
      </c>
    </row>
    <row r="12" spans="1:1" x14ac:dyDescent="0.25">
      <c r="A12" s="24" t="s">
        <v>41</v>
      </c>
    </row>
    <row r="13" spans="1:1" x14ac:dyDescent="0.25">
      <c r="A13" s="24" t="s">
        <v>42</v>
      </c>
    </row>
    <row r="14" spans="1:1" x14ac:dyDescent="0.25">
      <c r="A14" s="24" t="s">
        <v>43</v>
      </c>
    </row>
    <row r="15" spans="1:1" x14ac:dyDescent="0.25">
      <c r="A15" s="24" t="s">
        <v>44</v>
      </c>
    </row>
    <row r="16" spans="1:1" x14ac:dyDescent="0.25">
      <c r="A16" s="24" t="s">
        <v>45</v>
      </c>
    </row>
    <row r="17" spans="1:1" x14ac:dyDescent="0.25">
      <c r="A17" s="24" t="s">
        <v>46</v>
      </c>
    </row>
    <row r="18" spans="1:1" x14ac:dyDescent="0.25">
      <c r="A18" s="24" t="s">
        <v>47</v>
      </c>
    </row>
    <row r="19" spans="1:1" x14ac:dyDescent="0.25">
      <c r="A19" s="24" t="s">
        <v>48</v>
      </c>
    </row>
    <row r="20" spans="1:1" x14ac:dyDescent="0.25">
      <c r="A20" s="24" t="s">
        <v>49</v>
      </c>
    </row>
    <row r="21" spans="1:1" x14ac:dyDescent="0.25">
      <c r="A21" s="24" t="s">
        <v>50</v>
      </c>
    </row>
    <row r="22" spans="1:1" x14ac:dyDescent="0.25">
      <c r="A22" s="24" t="s">
        <v>51</v>
      </c>
    </row>
    <row r="23" spans="1:1" x14ac:dyDescent="0.25">
      <c r="A23" s="24" t="s">
        <v>52</v>
      </c>
    </row>
    <row r="24" spans="1:1" x14ac:dyDescent="0.25">
      <c r="A24" s="2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Runsheet</vt:lpstr>
      <vt:lpstr>Ark2</vt:lpstr>
    </vt:vector>
  </TitlesOfParts>
  <Company>Region Syddanmark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Laura Dalby</dc:creator>
  <cp:lastModifiedBy>Kat Steinke</cp:lastModifiedBy>
  <cp:lastPrinted>2021-06-21T06:53:28Z</cp:lastPrinted>
  <dcterms:created xsi:type="dcterms:W3CDTF">2021-01-18T13:03:42Z</dcterms:created>
  <dcterms:modified xsi:type="dcterms:W3CDTF">2026-04-28T12:08:17Z</dcterms:modified>
</cp:coreProperties>
</file>