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sample_sheet_test\"/>
    </mc:Choice>
  </mc:AlternateContent>
  <xr:revisionPtr revIDLastSave="0" documentId="13_ncr:1_{8D488209-092E-45B2-84A8-C89F1646F5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1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  <c r="J5" i="1" l="1"/>
  <c r="K5" i="1" s="1"/>
</calcChain>
</file>

<file path=xl/sharedStrings.xml><?xml version="1.0" encoding="utf-8"?>
<sst xmlns="http://schemas.openxmlformats.org/spreadsheetml/2006/main" count="69" uniqueCount="65">
  <si>
    <t>Final Libary</t>
  </si>
  <si>
    <t>KMA nr</t>
  </si>
  <si>
    <t>CT/CP værdi</t>
  </si>
  <si>
    <t>Navn</t>
  </si>
  <si>
    <t>Reagenser</t>
  </si>
  <si>
    <t>Lot nr</t>
  </si>
  <si>
    <t>2. måling af DNA konc.(Qubit HS kittet)</t>
  </si>
  <si>
    <t>Bestem DNA inden mærkning med barkoder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</si>
  <si>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</si>
  <si>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</si>
  <si>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</si>
  <si>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</si>
  <si>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</si>
  <si>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1. Måling af DNA konc.                     (Qubit BR kittet)</t>
  </si>
  <si>
    <t>Eluat nr.</t>
  </si>
  <si>
    <t>Start dato og RUNxxxx-navn (Præ-PCR)</t>
  </si>
  <si>
    <t>Slut dato, flowcelle og navn (Post-PCR)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</si>
  <si>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</si>
  <si>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</si>
  <si>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</si>
  <si>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</si>
  <si>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</si>
  <si>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</si>
  <si>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</si>
  <si>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</si>
  <si>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</si>
  <si>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</si>
  <si>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</si>
  <si>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</si>
  <si>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</si>
  <si>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</si>
  <si>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</si>
  <si>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</si>
  <si>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</si>
  <si>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</si>
  <si>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</si>
  <si>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</si>
  <si>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</si>
  <si>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</si>
  <si>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</si>
  <si>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</si>
  <si>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</si>
  <si>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</si>
  <si>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</si>
  <si>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</si>
  <si>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</si>
  <si>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</si>
  <si>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</si>
  <si>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</si>
  <si>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</si>
  <si>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</si>
  <si>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</si>
  <si>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</si>
  <si>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</si>
  <si>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</si>
  <si>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</si>
  <si>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</si>
  <si>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</si>
  <si>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</si>
  <si>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</si>
  <si>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</si>
  <si>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</si>
  <si>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</si>
  <si>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Neg K1</t>
  </si>
  <si>
    <t>Barkode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</si>
</sst>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10" xfId="0" applyFont="1" applyBorder="1"/>
    <xf numFmtId="0" fontId="5" fillId="0" borderId="11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6" fillId="0" borderId="6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44" fontId="10" fillId="0" borderId="7" xfId="4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4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4" xfId="0" applyFont="1" applyBorder="1"/>
    <xf numFmtId="0" fontId="5" fillId="0" borderId="7" xfId="0" applyFont="1" applyBorder="1"/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/>
    </xf>
    <xf numFmtId="0" fontId="8" fillId="3" borderId="4" xfId="2" applyFont="1" applyBorder="1" applyAlignment="1">
      <alignment horizontal="center" vertical="center"/>
    </xf>
    <xf numFmtId="0" fontId="8" fillId="3" borderId="5" xfId="2" applyFont="1" applyBorder="1" applyAlignment="1">
      <alignment horizontal="center" vertical="center"/>
    </xf>
    <xf numFmtId="0" fontId="7" fillId="4" borderId="3" xfId="3" applyFont="1" applyBorder="1" applyAlignment="1">
      <alignment horizontal="center" vertical="center"/>
    </xf>
    <xf numFmtId="0" fontId="7" fillId="4" borderId="4" xfId="3" applyFont="1" applyBorder="1" applyAlignment="1">
      <alignment horizontal="center" vertical="center"/>
    </xf>
    <xf numFmtId="0" fontId="7" fillId="4" borderId="5" xfId="3" applyFont="1" applyBorder="1" applyAlignment="1">
      <alignment horizontal="center" vertical="center"/>
    </xf>
    <xf numFmtId="0" fontId="6" fillId="0" borderId="6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A8" sqref="A8:D8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24" customFormat="1" x14ac:dyDescent="0.25"/>
    <row r="2" spans="1:13" ht="48" customHeight="1" x14ac:dyDescent="0.25">
      <c r="A2" s="30" t="s">
        <v>15</v>
      </c>
      <c r="B2" s="28" t="s">
        <v>16</v>
      </c>
      <c r="C2" s="45" t="s">
        <v>3</v>
      </c>
      <c r="D2" s="45"/>
      <c r="E2" s="48" t="s">
        <v>7</v>
      </c>
      <c r="F2" s="48"/>
      <c r="G2" s="48"/>
      <c r="H2" s="48"/>
      <c r="I2" s="55" t="s">
        <v>0</v>
      </c>
      <c r="J2" s="56"/>
      <c r="K2" s="57"/>
    </row>
    <row r="3" spans="1:13" ht="44.45" customHeight="1" x14ac:dyDescent="0.25">
      <c r="A3" s="40"/>
      <c r="B3" s="29"/>
      <c r="C3" s="46"/>
      <c r="D3" s="47"/>
      <c r="E3" s="49" t="s">
        <v>13</v>
      </c>
      <c r="F3" s="50"/>
      <c r="G3" s="50"/>
      <c r="H3" s="51"/>
      <c r="I3" s="52" t="s">
        <v>6</v>
      </c>
      <c r="J3" s="53"/>
      <c r="K3" s="54"/>
    </row>
    <row r="4" spans="1:13" ht="53.25" customHeight="1" x14ac:dyDescent="0.25">
      <c r="A4" s="9" t="s">
        <v>1</v>
      </c>
      <c r="B4" s="9" t="s">
        <v>2</v>
      </c>
      <c r="C4" s="20" t="s">
        <v>64</v>
      </c>
      <c r="D4" s="8" t="s">
        <v>14</v>
      </c>
      <c r="E4" s="9" t="s">
        <v>8</v>
      </c>
      <c r="F4" s="58" t="s">
        <v>9</v>
      </c>
      <c r="G4" s="58"/>
      <c r="H4" s="25" t="s">
        <v>10</v>
      </c>
      <c r="I4" s="25" t="s">
        <v>8</v>
      </c>
      <c r="J4" s="27" t="s">
        <v>11</v>
      </c>
      <c r="K4" s="26" t="s">
        <v>12</v>
      </c>
      <c r="L4" s="6" t="s">
        <v>4</v>
      </c>
      <c r="M4" s="6" t="s">
        <v>5</v>
      </c>
    </row>
    <row r="5" spans="1:13" ht="15.75" customHeight="1" thickBot="1" x14ac:dyDescent="0.3">
      <c r="A5" s="41">
        <v>11710000</v>
      </c>
      <c r="B5" s="41">
        <v>22</v>
      </c>
      <c r="C5" s="5" t="s">
        <v>39</v>
      </c>
      <c r="D5" s="42">
        <v>1</v>
      </c>
      <c r="E5" s="31">
        <v>145</v>
      </c>
      <c r="F5" s="43">
        <f>IF(E5&lt;&gt;0,(IF(200/E5&gt;12.5,"12,5",200/E5)),"")</f>
        <v>1.3793103448275863</v>
      </c>
      <c r="G5" s="44"/>
      <c r="H5" s="32">
        <f>IF(E5=0,"",12.5-F5)</f>
        <v>11.120689655172413</v>
      </c>
      <c r="I5" s="3">
        <v>4.04</v>
      </c>
      <c r="J5" s="4">
        <f>15/I5</f>
        <v>3.7128712871287131</v>
      </c>
      <c r="K5" s="14">
        <f>12-J5</f>
        <v>8.2871287128712865</v>
      </c>
      <c r="L5" s="11" t="s">
        <v>17</v>
      </c>
      <c r="M5" s="17"/>
    </row>
    <row r="6" spans="1:13" x14ac:dyDescent="0.25">
      <c r="A6" s="41">
        <v>11700000</v>
      </c>
      <c r="B6" s="41">
        <v>22.08</v>
      </c>
      <c r="C6" s="5" t="s">
        <v>40</v>
      </c>
      <c r="D6" s="42">
        <v>2</v>
      </c>
      <c r="E6" s="31">
        <v>62.4</v>
      </c>
      <c r="F6" s="43">
        <f t="shared" ref="F6" si="0">IF(E6&lt;&gt;0,(IF(200/E6&gt;12.5,"12,5",200/E6)),"")</f>
        <v>3.2051282051282053</v>
      </c>
      <c r="G6" s="44"/>
      <c r="H6" s="32">
        <f t="shared" ref="H6" si="1">IF(E6=0,"",12.5-F6)</f>
        <v>9.2948717948717956</v>
      </c>
      <c r="I6" s="2"/>
      <c r="J6" s="2"/>
      <c r="K6" s="22"/>
      <c r="L6" s="10" t="s">
        <v>18</v>
      </c>
      <c r="M6" s="18"/>
    </row>
    <row r="7" spans="1:13" x14ac:dyDescent="0.25">
      <c r="A7" s="41" t="s">
        <v>63</v>
      </c>
      <c r="B7" s="41">
        <v>99</v>
      </c>
      <c r="C7" s="5" t="s">
        <v>43</v>
      </c>
      <c r="D7" s="42">
        <v>5</v>
      </c>
      <c r="E7" s="31"/>
      <c r="F7" s="43"/>
      <c r="G7" s="44"/>
      <c r="H7" s="32"/>
      <c r="I7" s="2"/>
      <c r="J7" s="2"/>
      <c r="K7" s="13"/>
      <c r="L7" s="7" t="s">
        <v>19</v>
      </c>
      <c r="M7" s="16"/>
    </row>
    <row r="8" spans="1:13" x14ac:dyDescent="0.25">
      <c r="A8" s="41"/>
      <c r="B8" s="41"/>
      <c r="C8" s="5"/>
      <c r="D8" s="42"/>
      <c r="E8" s="31"/>
      <c r="F8" s="43"/>
      <c r="G8" s="44"/>
      <c r="H8" s="32"/>
      <c r="I8" s="2"/>
      <c r="J8" s="2"/>
      <c r="K8" s="13"/>
      <c r="L8" s="7" t="s">
        <v>20</v>
      </c>
      <c r="M8" s="16"/>
    </row>
    <row r="9" spans="1:13" ht="15.75" thickBot="1" x14ac:dyDescent="0.3">
      <c r="E9" s="31"/>
      <c r="F9" s="43"/>
      <c r="G9" s="44"/>
      <c r="H9" s="32"/>
      <c r="I9" s="2"/>
      <c r="J9" s="2"/>
      <c r="K9" s="13"/>
      <c r="L9" s="11" t="s">
        <v>21</v>
      </c>
      <c r="M9" s="17"/>
    </row>
    <row r="10" spans="1:13" x14ac:dyDescent="0.25">
      <c r="E10" s="31"/>
      <c r="F10" s="43"/>
      <c r="G10" s="44"/>
      <c r="H10" s="32"/>
      <c r="I10" s="2"/>
      <c r="J10" s="2"/>
      <c r="K10" s="13"/>
      <c r="L10" s="10" t="s">
        <v>22</v>
      </c>
      <c r="M10" s="18"/>
    </row>
    <row r="11" spans="1:13" x14ac:dyDescent="0.25">
      <c r="A11" s="41"/>
      <c r="B11" s="41"/>
      <c r="C11" s="5"/>
      <c r="D11" s="42"/>
      <c r="E11" s="31"/>
      <c r="F11" s="43"/>
      <c r="G11" s="44"/>
      <c r="H11" s="32"/>
      <c r="I11" s="2"/>
      <c r="J11" s="2"/>
      <c r="K11" s="13"/>
      <c r="L11" s="7" t="s">
        <v>23</v>
      </c>
      <c r="M11" s="16"/>
    </row>
    <row r="12" spans="1:13" x14ac:dyDescent="0.25">
      <c r="A12" s="41"/>
      <c r="B12" s="41"/>
      <c r="C12" s="5"/>
      <c r="D12" s="42"/>
      <c r="E12" s="31"/>
      <c r="F12" s="43"/>
      <c r="G12" s="44"/>
      <c r="H12" s="32"/>
      <c r="I12" s="2"/>
      <c r="J12" s="2"/>
      <c r="K12" s="13"/>
      <c r="L12" s="7" t="s">
        <v>24</v>
      </c>
      <c r="M12" s="16"/>
    </row>
    <row r="13" spans="1:13" ht="15.75" thickBot="1" x14ac:dyDescent="0.3">
      <c r="A13" s="41"/>
      <c r="B13" s="41"/>
      <c r="C13" s="5"/>
      <c r="D13" s="42"/>
      <c r="E13" s="3"/>
      <c r="F13" s="43"/>
      <c r="G13" s="44"/>
      <c r="H13" s="32"/>
      <c r="I13" s="2"/>
      <c r="J13" s="2"/>
      <c r="K13" s="13"/>
      <c r="L13" s="11" t="s">
        <v>25</v>
      </c>
      <c r="M13" s="17"/>
    </row>
    <row r="14" spans="1:13" x14ac:dyDescent="0.25">
      <c r="A14" s="41"/>
      <c r="B14" s="41"/>
      <c r="C14" s="5"/>
      <c r="D14" s="42"/>
      <c r="E14" s="31"/>
      <c r="F14" s="43"/>
      <c r="G14" s="44"/>
      <c r="H14" s="32"/>
      <c r="I14" s="2"/>
      <c r="J14" s="2"/>
      <c r="K14" s="13"/>
      <c r="L14" s="36" t="s">
        <v>26</v>
      </c>
      <c r="M14" s="34"/>
    </row>
    <row r="15" spans="1:13" ht="15.75" thickBot="1" x14ac:dyDescent="0.3">
      <c r="A15" s="41"/>
      <c r="B15" s="41"/>
      <c r="C15" s="5"/>
      <c r="D15" s="42"/>
      <c r="E15" s="33"/>
      <c r="F15" s="43"/>
      <c r="G15" s="44"/>
      <c r="H15" s="32"/>
      <c r="I15" s="2"/>
      <c r="J15" s="2"/>
      <c r="K15" s="13"/>
      <c r="L15" s="11" t="s">
        <v>27</v>
      </c>
      <c r="M15" s="17"/>
    </row>
    <row r="16" spans="1:13" ht="15.75" thickBot="1" x14ac:dyDescent="0.3">
      <c r="A16" s="41"/>
      <c r="B16" s="41"/>
      <c r="C16" s="5"/>
      <c r="D16" s="42"/>
      <c r="E16" s="31"/>
      <c r="F16" s="43"/>
      <c r="G16" s="44"/>
      <c r="H16" s="32"/>
      <c r="I16" s="2"/>
      <c r="J16" s="2"/>
      <c r="K16" s="13"/>
      <c r="L16" s="12" t="s">
        <v>28</v>
      </c>
      <c r="M16" s="19"/>
    </row>
    <row r="17" spans="1:13" x14ac:dyDescent="0.25">
      <c r="A17" s="41"/>
      <c r="B17" s="41"/>
      <c r="C17" s="5"/>
      <c r="D17" s="42"/>
      <c r="E17" s="33"/>
      <c r="F17" s="43"/>
      <c r="G17" s="44"/>
      <c r="H17" s="32"/>
      <c r="I17" s="2"/>
      <c r="J17" s="2"/>
      <c r="K17" s="13"/>
      <c r="L17" s="10" t="s">
        <v>29</v>
      </c>
      <c r="M17" s="18"/>
    </row>
    <row r="18" spans="1:13" ht="15.75" thickBot="1" x14ac:dyDescent="0.3">
      <c r="A18" s="41"/>
      <c r="B18" s="41"/>
      <c r="C18" s="5"/>
      <c r="D18" s="42"/>
      <c r="E18" s="31"/>
      <c r="F18" s="43"/>
      <c r="G18" s="44"/>
      <c r="H18" s="32"/>
      <c r="I18" s="2"/>
      <c r="J18" s="2"/>
      <c r="K18" s="13"/>
      <c r="L18" s="11" t="s">
        <v>30</v>
      </c>
      <c r="M18" s="17"/>
    </row>
    <row r="19" spans="1:13" ht="15.75" thickBot="1" x14ac:dyDescent="0.3">
      <c r="A19" s="41"/>
      <c r="B19" s="41"/>
      <c r="C19" s="5"/>
      <c r="D19" s="42"/>
      <c r="E19" s="31"/>
      <c r="F19" s="43"/>
      <c r="G19" s="44"/>
      <c r="H19" s="32"/>
      <c r="I19" s="2"/>
      <c r="J19" s="2"/>
      <c r="K19" s="13"/>
      <c r="L19" s="12" t="s">
        <v>31</v>
      </c>
      <c r="M19" s="19"/>
    </row>
    <row r="20" spans="1:13" x14ac:dyDescent="0.25">
      <c r="A20" s="41"/>
      <c r="B20" s="41"/>
      <c r="C20" s="5"/>
      <c r="D20" s="42"/>
      <c r="E20" s="31"/>
      <c r="F20" s="43"/>
      <c r="G20" s="44"/>
      <c r="H20" s="32"/>
      <c r="I20" s="2"/>
      <c r="J20" s="2"/>
      <c r="K20" s="13"/>
      <c r="L20" s="10" t="s">
        <v>32</v>
      </c>
      <c r="M20" s="18"/>
    </row>
    <row r="21" spans="1:13" x14ac:dyDescent="0.25">
      <c r="A21" s="41"/>
      <c r="B21" s="41"/>
      <c r="C21" s="5"/>
      <c r="D21" s="42"/>
      <c r="E21" s="31"/>
      <c r="F21" s="43"/>
      <c r="G21" s="44"/>
      <c r="H21" s="32"/>
      <c r="I21" s="2"/>
      <c r="J21" s="2"/>
      <c r="K21" s="13"/>
      <c r="L21" s="7" t="s">
        <v>33</v>
      </c>
      <c r="M21" s="16"/>
    </row>
    <row r="22" spans="1:13" ht="15.75" thickBot="1" x14ac:dyDescent="0.3">
      <c r="A22" s="41"/>
      <c r="B22" s="41"/>
      <c r="C22" s="5"/>
      <c r="D22" s="42"/>
      <c r="E22" s="31"/>
      <c r="F22" s="43"/>
      <c r="G22" s="44"/>
      <c r="H22" s="32"/>
      <c r="I22" s="2"/>
      <c r="J22" s="2"/>
      <c r="K22" s="13"/>
      <c r="L22" s="11" t="s">
        <v>34</v>
      </c>
      <c r="M22" s="17"/>
    </row>
    <row r="23" spans="1:13" x14ac:dyDescent="0.25">
      <c r="A23" s="41"/>
      <c r="B23" s="41"/>
      <c r="C23" s="5"/>
      <c r="D23" s="42"/>
      <c r="E23" s="31"/>
      <c r="F23" s="43"/>
      <c r="G23" s="44"/>
      <c r="H23" s="32"/>
      <c r="I23" s="2"/>
      <c r="J23" s="2"/>
      <c r="K23" s="13"/>
      <c r="L23" s="7" t="s">
        <v>35</v>
      </c>
      <c r="M23" s="18"/>
    </row>
    <row r="24" spans="1:13" x14ac:dyDescent="0.25">
      <c r="A24" s="41"/>
      <c r="B24" s="41"/>
      <c r="C24" s="5"/>
      <c r="D24" s="42"/>
      <c r="E24" s="31"/>
      <c r="F24" s="43"/>
      <c r="G24" s="44"/>
      <c r="H24" s="32"/>
      <c r="I24" s="2"/>
      <c r="J24" s="2"/>
      <c r="K24" s="13"/>
      <c r="L24" s="37" t="s">
        <v>36</v>
      </c>
      <c r="M24" s="35"/>
    </row>
    <row r="25" spans="1:13" x14ac:dyDescent="0.25">
      <c r="A25" s="41"/>
      <c r="B25" s="41"/>
      <c r="C25" s="5"/>
      <c r="D25" s="42"/>
      <c r="E25" s="31"/>
      <c r="F25" s="43"/>
      <c r="G25" s="44"/>
      <c r="H25" s="32"/>
      <c r="I25" s="2"/>
      <c r="J25" s="2"/>
      <c r="K25" s="13"/>
      <c r="L25" s="7" t="s">
        <v>37</v>
      </c>
      <c r="M25" s="16"/>
    </row>
    <row r="26" spans="1:13" x14ac:dyDescent="0.25">
      <c r="A26" s="41"/>
      <c r="B26" s="41"/>
      <c r="C26" s="5"/>
      <c r="D26" s="42"/>
      <c r="E26" s="31"/>
      <c r="F26" s="43"/>
      <c r="G26" s="44"/>
      <c r="H26" s="32"/>
      <c r="I26" s="2"/>
      <c r="J26" s="2"/>
      <c r="K26" s="13"/>
      <c r="L26" s="7" t="s">
        <v>38</v>
      </c>
      <c r="M26" s="16"/>
    </row>
    <row r="27" spans="1:13" x14ac:dyDescent="0.25">
      <c r="A27" s="41"/>
      <c r="B27" s="41"/>
      <c r="C27" s="5"/>
      <c r="D27" s="42"/>
      <c r="E27" s="31"/>
      <c r="F27" s="43"/>
      <c r="G27" s="44"/>
      <c r="H27" s="32"/>
      <c r="I27" s="2"/>
      <c r="J27" s="2"/>
      <c r="K27" s="22"/>
      <c r="L27" s="38"/>
      <c r="M27" s="39"/>
    </row>
    <row r="28" spans="1:13" x14ac:dyDescent="0.25">
      <c r="A28" s="42"/>
      <c r="B28" s="42"/>
      <c r="C28" s="5"/>
      <c r="D28" s="42"/>
      <c r="E28" s="31"/>
      <c r="F28" s="43"/>
      <c r="G28" s="44"/>
      <c r="H28" s="32"/>
      <c r="I28" s="2"/>
      <c r="J28" s="2"/>
      <c r="K28" s="22"/>
      <c r="L28" s="38"/>
      <c r="M28" s="39"/>
    </row>
    <row r="29" spans="1:13" x14ac:dyDescent="0.25">
      <c r="B29" s="1"/>
      <c r="C29" s="1"/>
      <c r="D29" s="15"/>
      <c r="E29" s="15"/>
      <c r="F29" s="15"/>
      <c r="G29" s="1"/>
      <c r="H29" s="1"/>
      <c r="L29" s="1"/>
    </row>
    <row r="30" spans="1:13" x14ac:dyDescent="0.25">
      <c r="A30" s="23"/>
      <c r="B30" s="1"/>
      <c r="C30" s="1"/>
      <c r="D30" s="21"/>
      <c r="E30" s="15"/>
      <c r="F30" s="15"/>
      <c r="G30" s="1"/>
      <c r="H30" s="1"/>
    </row>
    <row r="31" spans="1:13" x14ac:dyDescent="0.25">
      <c r="B31" s="1"/>
      <c r="C31" s="1"/>
      <c r="D31" s="15"/>
      <c r="E31" s="15"/>
      <c r="F31" s="15"/>
      <c r="G31" s="1"/>
      <c r="H31" s="1"/>
    </row>
    <row r="32" spans="1:13" x14ac:dyDescent="0.25">
      <c r="B32" s="1"/>
      <c r="C32" s="1"/>
      <c r="D32" s="15"/>
      <c r="E32" s="15"/>
      <c r="F32" s="15"/>
      <c r="G32" s="1"/>
      <c r="H32" s="1"/>
    </row>
    <row r="33" spans="1:10" s="24" customFormat="1" x14ac:dyDescent="0.25">
      <c r="B33" s="1"/>
      <c r="C33" s="1"/>
      <c r="D33" s="15"/>
      <c r="E33" s="15"/>
      <c r="F33" s="15"/>
      <c r="G33" s="1"/>
      <c r="H33" s="1"/>
      <c r="I33"/>
      <c r="J33"/>
    </row>
    <row r="34" spans="1:10" x14ac:dyDescent="0.25">
      <c r="A34" s="24"/>
      <c r="B34" s="1"/>
      <c r="C34" s="1"/>
      <c r="D34" s="15"/>
      <c r="E34" s="15"/>
      <c r="F34" s="15"/>
      <c r="G34" s="1"/>
      <c r="H34" s="1"/>
    </row>
    <row r="35" spans="1:10" x14ac:dyDescent="0.25">
      <c r="B35" s="1"/>
      <c r="C35" s="1"/>
      <c r="D35" s="15"/>
      <c r="E35" s="15"/>
      <c r="F35" s="15"/>
      <c r="G35" s="1"/>
      <c r="H35" s="1"/>
    </row>
    <row r="36" spans="1:10" x14ac:dyDescent="0.25">
      <c r="B36" s="1"/>
      <c r="C36" s="1"/>
      <c r="D36" s="15"/>
      <c r="E36" s="15"/>
      <c r="F36" s="15"/>
      <c r="G36" s="1"/>
      <c r="H36" s="1"/>
    </row>
    <row r="37" spans="1:10" x14ac:dyDescent="0.25">
      <c r="B37" s="1"/>
      <c r="C37" s="1"/>
      <c r="D37" s="15"/>
      <c r="E37" s="15"/>
      <c r="F37" s="15"/>
      <c r="G37" s="1"/>
      <c r="H37" s="1"/>
    </row>
    <row r="1048576" spans="1:1" x14ac:dyDescent="0.25">
      <c r="A1048576" s="24"/>
    </row>
  </sheetData>
  <sheetProtection selectLockedCells="1"/>
  <mergeCells count="31">
    <mergeCell ref="I3:K3"/>
    <mergeCell ref="I2:K2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  <mergeCell ref="F27:G27"/>
    <mergeCell ref="F28:G28"/>
    <mergeCell ref="F19:G19"/>
    <mergeCell ref="F20:G20"/>
    <mergeCell ref="F21:G21"/>
    <mergeCell ref="F22:G22"/>
    <mergeCell ref="F23:G23"/>
    <mergeCell ref="F5:G5"/>
    <mergeCell ref="F6:G6"/>
    <mergeCell ref="F7:G7"/>
    <mergeCell ref="F8:G8"/>
    <mergeCell ref="C2:D2"/>
    <mergeCell ref="C3:D3"/>
    <mergeCell ref="E2:H2"/>
    <mergeCell ref="E3:H3"/>
  </mergeCells>
  <pageMargins left="0.7" right="0.7" top="0.75" bottom="0.75" header="0.3" footer="0.3"/>
  <pageSetup paperSize="9" scale="8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'Ark2'!$A$1:$A$24</xm:f>
          </x14:formula1>
          <xm:sqref>C11:C28 C5:C8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s="24" t="s">
        <v>41</v>
      </c>
    </row>
    <row r="4" spans="1:1" x14ac:dyDescent="0.25">
      <c r="A4" s="24" t="s">
        <v>42</v>
      </c>
    </row>
    <row r="5" spans="1:1" x14ac:dyDescent="0.25">
      <c r="A5" s="24" t="s">
        <v>43</v>
      </c>
    </row>
    <row r="6" spans="1:1" x14ac:dyDescent="0.25">
      <c r="A6" s="24" t="s">
        <v>44</v>
      </c>
    </row>
    <row r="7" spans="1:1" x14ac:dyDescent="0.25">
      <c r="A7" s="24" t="s">
        <v>45</v>
      </c>
    </row>
    <row r="8" spans="1:1" x14ac:dyDescent="0.25">
      <c r="A8" s="24" t="s">
        <v>46</v>
      </c>
    </row>
    <row r="9" spans="1:1" x14ac:dyDescent="0.25">
      <c r="A9" s="24" t="s">
        <v>47</v>
      </c>
    </row>
    <row r="10" spans="1:1" x14ac:dyDescent="0.25">
      <c r="A10" s="24" t="s">
        <v>48</v>
      </c>
    </row>
    <row r="11" spans="1:1" x14ac:dyDescent="0.25">
      <c r="A11" s="24" t="s">
        <v>49</v>
      </c>
    </row>
    <row r="12" spans="1:1" x14ac:dyDescent="0.25">
      <c r="A12" s="24" t="s">
        <v>50</v>
      </c>
    </row>
    <row r="13" spans="1:1" x14ac:dyDescent="0.25">
      <c r="A13" s="24" t="s">
        <v>51</v>
      </c>
    </row>
    <row r="14" spans="1:1" x14ac:dyDescent="0.25">
      <c r="A14" s="24" t="s">
        <v>52</v>
      </c>
    </row>
    <row r="15" spans="1:1" x14ac:dyDescent="0.25">
      <c r="A15" s="24" t="s">
        <v>53</v>
      </c>
    </row>
    <row r="16" spans="1:1" x14ac:dyDescent="0.25">
      <c r="A16" s="24" t="s">
        <v>54</v>
      </c>
    </row>
    <row r="17" spans="1:1" x14ac:dyDescent="0.25">
      <c r="A17" s="24" t="s">
        <v>55</v>
      </c>
    </row>
    <row r="18" spans="1:1" x14ac:dyDescent="0.25">
      <c r="A18" s="24" t="s">
        <v>56</v>
      </c>
    </row>
    <row r="19" spans="1:1" x14ac:dyDescent="0.25">
      <c r="A19" s="24" t="s">
        <v>57</v>
      </c>
    </row>
    <row r="20" spans="1:1" x14ac:dyDescent="0.25">
      <c r="A20" s="24" t="s">
        <v>58</v>
      </c>
    </row>
    <row r="21" spans="1:1" x14ac:dyDescent="0.25">
      <c r="A21" s="24" t="s">
        <v>59</v>
      </c>
    </row>
    <row r="22" spans="1:1" x14ac:dyDescent="0.25">
      <c r="A22" s="24" t="s">
        <v>60</v>
      </c>
    </row>
    <row r="23" spans="1:1" x14ac:dyDescent="0.25">
      <c r="A23" s="24" t="s">
        <v>61</v>
      </c>
    </row>
    <row r="24" spans="1:1" x14ac:dyDescent="0.25">
      <c r="A24" s="2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2026-04-28T11:01:35Z</dcterms:modified>
</cp:coreProperties>
</file>